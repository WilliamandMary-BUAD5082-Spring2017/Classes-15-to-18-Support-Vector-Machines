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MyDocuments\BUAD5082 - Machine Learning 2\05SupportVectorMachines\"/>
    </mc:Choice>
  </mc:AlternateContent>
  <bookViews>
    <workbookView xWindow="0" yWindow="0" windowWidth="21210" windowHeight="8130"/>
  </bookViews>
  <sheets>
    <sheet name="MaximalMarginClassifier" sheetId="1" r:id="rId1"/>
    <sheet name="SupportVectorClassifier" sheetId="5" r:id="rId2"/>
    <sheet name="Epsilon" sheetId="6" r:id="rId3"/>
    <sheet name="InnerProduct" sheetId="2" r:id="rId4"/>
  </sheets>
  <definedNames>
    <definedName name="beta0" localSheetId="1">SupportVectorClassifier!$E$3</definedName>
    <definedName name="beta0">MaximalMarginClassifier!$E$3</definedName>
    <definedName name="beta1" localSheetId="1">SupportVectorClassifier!$F$3</definedName>
    <definedName name="beta1">MaximalMarginClassifier!$F$3</definedName>
    <definedName name="beta2" localSheetId="1">SupportVectorClassifier!$G$3</definedName>
    <definedName name="beta2">MaximalMarginClassifier!$G$3</definedName>
    <definedName name="beta3" localSheetId="1">#REF!</definedName>
    <definedName name="beta3">#REF!</definedName>
    <definedName name="Betas" localSheetId="1">SupportVectorClassifier!$E$3:$G$3</definedName>
    <definedName name="Betas">MaximalMarginClassifier!$E$3:$G$3</definedName>
    <definedName name="BetasReset">SupportVectorClassifier!$E$52:$G$52</definedName>
    <definedName name="epsilons">SupportVectorClassifier!$V$3:$V$44</definedName>
    <definedName name="intercept" localSheetId="1">SupportVectorClassifier!$F$6</definedName>
    <definedName name="intercept">MaximalMarginClassifier!$E$6</definedName>
    <definedName name="Link1">MaximalMarginClassifier!$E$4</definedName>
    <definedName name="Link2">MaximalMarginClassifier!$F$4</definedName>
    <definedName name="Margin">SupportVectorClassifier!$AB$3</definedName>
    <definedName name="normBetas">SupportVectorClassifier!$I$3</definedName>
    <definedName name="ResetRange" localSheetId="1">SupportVectorClassifier!$E$51:$G$51</definedName>
    <definedName name="ResetRange">MaximalMarginClassifier!$E$51:$G$51</definedName>
    <definedName name="ResetX2Range" localSheetId="1">SupportVectorClassifier!$C$51:$C$92</definedName>
    <definedName name="ResetX2Range">MaximalMarginClassifier!$C$51:$C$92</definedName>
    <definedName name="showLine" localSheetId="1">SupportVectorClassifier!$N$7</definedName>
    <definedName name="showLine">MaximalMarginClassifier!$N$7</definedName>
    <definedName name="showMargins" localSheetId="1">SupportVectorClassifier!$N$9</definedName>
    <definedName name="showMargins">MaximalMarginClassifier!$N$9</definedName>
    <definedName name="showPoints" localSheetId="1">SupportVectorClassifier!$N$8</definedName>
    <definedName name="showPoints">MaximalMarginClassifier!$N$8</definedName>
    <definedName name="slope" localSheetId="1">SupportVectorClassifier!$F$5</definedName>
    <definedName name="slope">MaximalMarginClassifier!$E$5</definedName>
    <definedName name="solver_adj" localSheetId="0" hidden="1">MaximalMarginClassifier!$E$3:$G$3</definedName>
    <definedName name="solver_adj" localSheetId="1" hidden="1">SupportVectorClassifier!$E$3:$G$3,SupportVectorClassifier!$V$3:$V$44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MaximalMarginClassifier!$I$3</definedName>
    <definedName name="solver_lhs1" localSheetId="1" hidden="1">SupportVectorClassifier!$Y$3:$Y$44</definedName>
    <definedName name="solver_lhs2" localSheetId="0" hidden="1">MaximalMarginClassifier!$W$3:$W$44</definedName>
    <definedName name="solver_lhs2" localSheetId="1" hidden="1">SupportVectorClassifier!$V$3:$V$44</definedName>
    <definedName name="solver_lhs3" localSheetId="0" hidden="1">MaximalMarginClassifier!$Z$3</definedName>
    <definedName name="solver_lhs3" localSheetId="1" hidden="1">SupportVectorClassifier!$AB$3</definedName>
    <definedName name="solver_lhs4" localSheetId="1" hidden="1">SupportVectorClassifier!$AB$6</definedName>
    <definedName name="solver_lhs5" localSheetId="1" hidden="1">SupportVectorClassifier!$I$3</definedName>
    <definedName name="solver_lhs6" localSheetId="1" hidden="1">SupportVectorClassifier!$AB$6</definedName>
    <definedName name="solver_lhs7" localSheetId="1" hidden="1">SupportVectorClassifier!$AB$6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2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3</definedName>
    <definedName name="solver_num" localSheetId="1" hidden="1">5</definedName>
    <definedName name="solver_nwt" localSheetId="0" hidden="1">1</definedName>
    <definedName name="solver_nwt" localSheetId="1" hidden="1">1</definedName>
    <definedName name="solver_opt" localSheetId="0" hidden="1">MaximalMarginClassifier!$Z$3</definedName>
    <definedName name="solver_opt" localSheetId="1" hidden="1">SupportVectorClassifier!$AB$3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2</definedName>
    <definedName name="solver_rel1" localSheetId="0" hidden="1">2</definedName>
    <definedName name="solver_rel1" localSheetId="1" hidden="1">3</definedName>
    <definedName name="solver_rel2" localSheetId="0" hidden="1">3</definedName>
    <definedName name="solver_rel2" localSheetId="1" hidden="1">1</definedName>
    <definedName name="solver_rel3" localSheetId="0" hidden="1">3</definedName>
    <definedName name="solver_rel3" localSheetId="1" hidden="1">3</definedName>
    <definedName name="solver_rel4" localSheetId="1" hidden="1">1</definedName>
    <definedName name="solver_rel5" localSheetId="1" hidden="1">2</definedName>
    <definedName name="solver_rel6" localSheetId="1" hidden="1">1</definedName>
    <definedName name="solver_rel7" localSheetId="1" hidden="1">1</definedName>
    <definedName name="solver_rhs1" localSheetId="0" hidden="1">1</definedName>
    <definedName name="solver_rhs1" localSheetId="1" hidden="1">Margin</definedName>
    <definedName name="solver_rhs2" localSheetId="0" hidden="1">MaximalMarginClassifier!$Z$3</definedName>
    <definedName name="solver_rhs2" localSheetId="1" hidden="1">StartingC</definedName>
    <definedName name="solver_rhs3" localSheetId="0" hidden="1">0.0001</definedName>
    <definedName name="solver_rhs3" localSheetId="1" hidden="1">0.0001</definedName>
    <definedName name="solver_rhs4" localSheetId="1" hidden="1">StartingC</definedName>
    <definedName name="solver_rhs5" localSheetId="1" hidden="1">1</definedName>
    <definedName name="solver_rhs6" localSheetId="1" hidden="1">StartingC</definedName>
    <definedName name="solver_rhs7" localSheetId="1" hidden="1">StartingC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StartingC">SupportVectorClassifier!$AB$9</definedName>
    <definedName name="sumC">SupportVectorClassifier!$AB$6</definedName>
    <definedName name="sym">SupportVectorClassifier!#REF!</definedName>
    <definedName name="TestPointEpsilon">SupportVectorClassifier!$V$17</definedName>
    <definedName name="x2Range" localSheetId="1">SupportVectorClassifier!$U$3:$U$44</definedName>
    <definedName name="x2Range">MaximalMarginClassifier!$U$3:$U$44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3" i="6" l="1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AB6" i="5" l="1"/>
  <c r="G52" i="5"/>
  <c r="F52" i="5"/>
  <c r="X44" i="5"/>
  <c r="Y44" i="5" s="1"/>
  <c r="W44" i="5"/>
  <c r="T44" i="5"/>
  <c r="X43" i="5"/>
  <c r="Y43" i="5" s="1"/>
  <c r="W43" i="5"/>
  <c r="T43" i="5"/>
  <c r="X42" i="5"/>
  <c r="Y42" i="5" s="1"/>
  <c r="W42" i="5"/>
  <c r="T42" i="5"/>
  <c r="X41" i="5"/>
  <c r="Y41" i="5" s="1"/>
  <c r="W41" i="5"/>
  <c r="T41" i="5"/>
  <c r="X40" i="5"/>
  <c r="Y40" i="5" s="1"/>
  <c r="W40" i="5"/>
  <c r="T40" i="5"/>
  <c r="X39" i="5"/>
  <c r="Y39" i="5" s="1"/>
  <c r="W39" i="5"/>
  <c r="T39" i="5"/>
  <c r="X38" i="5"/>
  <c r="Y38" i="5" s="1"/>
  <c r="W38" i="5"/>
  <c r="T38" i="5"/>
  <c r="X37" i="5"/>
  <c r="Y37" i="5" s="1"/>
  <c r="W37" i="5"/>
  <c r="T37" i="5"/>
  <c r="X36" i="5"/>
  <c r="Y36" i="5" s="1"/>
  <c r="W36" i="5"/>
  <c r="T36" i="5"/>
  <c r="X35" i="5"/>
  <c r="Y35" i="5" s="1"/>
  <c r="W35" i="5"/>
  <c r="T35" i="5"/>
  <c r="X34" i="5"/>
  <c r="Y34" i="5" s="1"/>
  <c r="W34" i="5"/>
  <c r="T34" i="5"/>
  <c r="X33" i="5"/>
  <c r="Y33" i="5" s="1"/>
  <c r="W33" i="5"/>
  <c r="T33" i="5"/>
  <c r="X32" i="5"/>
  <c r="Y32" i="5" s="1"/>
  <c r="W32" i="5"/>
  <c r="T32" i="5"/>
  <c r="X31" i="5"/>
  <c r="Y31" i="5" s="1"/>
  <c r="W31" i="5"/>
  <c r="T31" i="5"/>
  <c r="X30" i="5"/>
  <c r="Y30" i="5" s="1"/>
  <c r="W30" i="5"/>
  <c r="T30" i="5"/>
  <c r="X29" i="5"/>
  <c r="Y29" i="5" s="1"/>
  <c r="W29" i="5"/>
  <c r="T29" i="5"/>
  <c r="X28" i="5"/>
  <c r="Y28" i="5" s="1"/>
  <c r="W28" i="5"/>
  <c r="T28" i="5"/>
  <c r="G28" i="5"/>
  <c r="X27" i="5"/>
  <c r="Y27" i="5" s="1"/>
  <c r="W27" i="5"/>
  <c r="T27" i="5"/>
  <c r="X26" i="5"/>
  <c r="Y26" i="5" s="1"/>
  <c r="W26" i="5"/>
  <c r="T26" i="5"/>
  <c r="X25" i="5"/>
  <c r="Y25" i="5" s="1"/>
  <c r="W25" i="5"/>
  <c r="T25" i="5"/>
  <c r="X24" i="5"/>
  <c r="Y24" i="5" s="1"/>
  <c r="W24" i="5"/>
  <c r="T24" i="5"/>
  <c r="X23" i="5"/>
  <c r="Y23" i="5" s="1"/>
  <c r="W23" i="5"/>
  <c r="T23" i="5"/>
  <c r="C23" i="5"/>
  <c r="X22" i="5"/>
  <c r="Y22" i="5" s="1"/>
  <c r="W22" i="5"/>
  <c r="T22" i="5"/>
  <c r="C22" i="5"/>
  <c r="X21" i="5"/>
  <c r="Y21" i="5" s="1"/>
  <c r="W21" i="5"/>
  <c r="T21" i="5"/>
  <c r="C21" i="5"/>
  <c r="X20" i="5"/>
  <c r="Y20" i="5" s="1"/>
  <c r="W20" i="5"/>
  <c r="T20" i="5"/>
  <c r="C20" i="5"/>
  <c r="X19" i="5"/>
  <c r="Y19" i="5" s="1"/>
  <c r="W19" i="5"/>
  <c r="T19" i="5"/>
  <c r="C19" i="5"/>
  <c r="X18" i="5"/>
  <c r="Y18" i="5" s="1"/>
  <c r="W18" i="5"/>
  <c r="T18" i="5"/>
  <c r="C18" i="5"/>
  <c r="X17" i="5"/>
  <c r="Y17" i="5" s="1"/>
  <c r="W17" i="5"/>
  <c r="T17" i="5"/>
  <c r="C17" i="5"/>
  <c r="X16" i="5"/>
  <c r="Y16" i="5" s="1"/>
  <c r="W16" i="5"/>
  <c r="T16" i="5"/>
  <c r="C16" i="5"/>
  <c r="X15" i="5"/>
  <c r="Y15" i="5" s="1"/>
  <c r="W15" i="5"/>
  <c r="T15" i="5"/>
  <c r="C15" i="5"/>
  <c r="X14" i="5"/>
  <c r="Y14" i="5" s="1"/>
  <c r="W14" i="5"/>
  <c r="T14" i="5"/>
  <c r="C14" i="5"/>
  <c r="X13" i="5"/>
  <c r="Y13" i="5" s="1"/>
  <c r="W13" i="5"/>
  <c r="T13" i="5"/>
  <c r="C13" i="5"/>
  <c r="X12" i="5"/>
  <c r="Y12" i="5" s="1"/>
  <c r="W12" i="5"/>
  <c r="T12" i="5"/>
  <c r="C12" i="5"/>
  <c r="X11" i="5"/>
  <c r="Y11" i="5" s="1"/>
  <c r="W11" i="5"/>
  <c r="T11" i="5"/>
  <c r="C11" i="5"/>
  <c r="X10" i="5"/>
  <c r="Y10" i="5" s="1"/>
  <c r="W10" i="5"/>
  <c r="T10" i="5"/>
  <c r="C10" i="5"/>
  <c r="X9" i="5"/>
  <c r="Y9" i="5" s="1"/>
  <c r="W9" i="5"/>
  <c r="T9" i="5"/>
  <c r="C9" i="5"/>
  <c r="X8" i="5"/>
  <c r="Y8" i="5" s="1"/>
  <c r="W8" i="5"/>
  <c r="T8" i="5"/>
  <c r="C8" i="5"/>
  <c r="X7" i="5"/>
  <c r="Y7" i="5" s="1"/>
  <c r="W7" i="5"/>
  <c r="T7" i="5"/>
  <c r="C7" i="5"/>
  <c r="X6" i="5"/>
  <c r="Y6" i="5" s="1"/>
  <c r="W6" i="5"/>
  <c r="T6" i="5"/>
  <c r="F6" i="5"/>
  <c r="C6" i="5"/>
  <c r="X5" i="5"/>
  <c r="Y5" i="5" s="1"/>
  <c r="W5" i="5"/>
  <c r="T5" i="5"/>
  <c r="F5" i="5"/>
  <c r="C5" i="5"/>
  <c r="X4" i="5"/>
  <c r="Y4" i="5" s="1"/>
  <c r="W4" i="5"/>
  <c r="T4" i="5"/>
  <c r="C4" i="5"/>
  <c r="X3" i="5"/>
  <c r="Y3" i="5" s="1"/>
  <c r="W3" i="5"/>
  <c r="T3" i="5"/>
  <c r="I3" i="5"/>
  <c r="C3" i="5"/>
  <c r="C4" i="2"/>
  <c r="C5" i="2" s="1"/>
  <c r="D4" i="2"/>
  <c r="D5" i="2" s="1"/>
  <c r="E4" i="2"/>
  <c r="E5" i="2" s="1"/>
  <c r="F4" i="2"/>
  <c r="F5" i="2" s="1"/>
  <c r="G4" i="2"/>
  <c r="G5" i="2" s="1"/>
  <c r="AB3" i="5" l="1"/>
  <c r="Z4" i="5"/>
  <c r="Z7" i="5"/>
  <c r="Z15" i="5"/>
  <c r="Z23" i="5"/>
  <c r="Z25" i="5"/>
  <c r="Z40" i="5"/>
  <c r="Z9" i="5"/>
  <c r="Z17" i="5"/>
  <c r="Z27" i="5"/>
  <c r="Z12" i="5"/>
  <c r="Z28" i="5"/>
  <c r="Z32" i="5"/>
  <c r="Z36" i="5"/>
  <c r="Z42" i="5"/>
  <c r="Z44" i="5"/>
  <c r="Z6" i="5"/>
  <c r="Z14" i="5"/>
  <c r="Z22" i="5"/>
  <c r="Z3" i="5"/>
  <c r="Z20" i="5"/>
  <c r="Z34" i="5"/>
  <c r="Z11" i="5"/>
  <c r="Z5" i="5"/>
  <c r="Z8" i="5"/>
  <c r="Z16" i="5"/>
  <c r="E27" i="5"/>
  <c r="E28" i="5" s="1"/>
  <c r="Z29" i="5"/>
  <c r="Z31" i="5"/>
  <c r="Z33" i="5"/>
  <c r="Z35" i="5"/>
  <c r="Z37" i="5"/>
  <c r="Z39" i="5"/>
  <c r="Z41" i="5"/>
  <c r="Z43" i="5"/>
  <c r="Z10" i="5"/>
  <c r="Z30" i="5"/>
  <c r="Z38" i="5"/>
  <c r="Z19" i="5"/>
  <c r="Z24" i="5"/>
  <c r="Z26" i="5"/>
  <c r="Z13" i="5"/>
  <c r="Z21" i="5"/>
  <c r="F27" i="5"/>
  <c r="F28" i="5" s="1"/>
  <c r="Z18" i="5"/>
  <c r="J5" i="2"/>
  <c r="I4" i="2"/>
  <c r="J4" i="2"/>
  <c r="I5" i="2"/>
  <c r="G9" i="2"/>
  <c r="F9" i="2"/>
  <c r="E9" i="2"/>
  <c r="D9" i="2"/>
  <c r="C9" i="2"/>
  <c r="G8" i="2"/>
  <c r="F8" i="2"/>
  <c r="E8" i="2"/>
  <c r="D8" i="2"/>
  <c r="C8" i="2"/>
  <c r="C3" i="1"/>
  <c r="O52" i="5" l="1"/>
  <c r="L53" i="5" s="1"/>
  <c r="P52" i="5"/>
  <c r="M60" i="5" s="1"/>
  <c r="C12" i="2"/>
  <c r="I9" i="2"/>
  <c r="I8" i="2"/>
  <c r="C11" i="2"/>
  <c r="J9" i="2"/>
  <c r="J8" i="2"/>
  <c r="G52" i="1"/>
  <c r="F52" i="1"/>
  <c r="L61" i="5" l="1"/>
  <c r="L60" i="5"/>
  <c r="L58" i="5"/>
  <c r="L62" i="5"/>
  <c r="L67" i="5"/>
  <c r="L55" i="5"/>
  <c r="L72" i="5"/>
  <c r="L64" i="5"/>
  <c r="L69" i="5"/>
  <c r="L70" i="5"/>
  <c r="L63" i="5"/>
  <c r="L65" i="5"/>
  <c r="L57" i="5"/>
  <c r="L71" i="5"/>
  <c r="L59" i="5"/>
  <c r="L66" i="5"/>
  <c r="L54" i="5"/>
  <c r="L52" i="5"/>
  <c r="L68" i="5"/>
  <c r="L56" i="5"/>
  <c r="M68" i="5"/>
  <c r="M56" i="5"/>
  <c r="M54" i="5"/>
  <c r="M52" i="5"/>
  <c r="M58" i="5"/>
  <c r="M59" i="5"/>
  <c r="M62" i="5"/>
  <c r="M63" i="5"/>
  <c r="M67" i="5"/>
  <c r="M55" i="5"/>
  <c r="M64" i="5"/>
  <c r="M57" i="5"/>
  <c r="M66" i="5"/>
  <c r="M61" i="5"/>
  <c r="M72" i="5"/>
  <c r="M69" i="5"/>
  <c r="M70" i="5"/>
  <c r="M71" i="5"/>
  <c r="M65" i="5"/>
  <c r="M53" i="5"/>
  <c r="G28" i="1"/>
  <c r="I3" i="1"/>
  <c r="T4" i="1" l="1"/>
  <c r="T12" i="1"/>
  <c r="T20" i="1"/>
  <c r="T28" i="1"/>
  <c r="T36" i="1"/>
  <c r="T44" i="1"/>
  <c r="T5" i="1"/>
  <c r="T13" i="1"/>
  <c r="T21" i="1"/>
  <c r="T29" i="1"/>
  <c r="T3" i="1"/>
  <c r="T6" i="1"/>
  <c r="T14" i="1"/>
  <c r="T22" i="1"/>
  <c r="T30" i="1"/>
  <c r="T38" i="1"/>
  <c r="T41" i="1"/>
  <c r="T37" i="1"/>
  <c r="T7" i="1"/>
  <c r="T15" i="1"/>
  <c r="T23" i="1"/>
  <c r="T31" i="1"/>
  <c r="T39" i="1"/>
  <c r="T17" i="1"/>
  <c r="T33" i="1"/>
  <c r="T43" i="1"/>
  <c r="T8" i="1"/>
  <c r="T16" i="1"/>
  <c r="T24" i="1"/>
  <c r="T32" i="1"/>
  <c r="T40" i="1"/>
  <c r="T9" i="1"/>
  <c r="T25" i="1"/>
  <c r="T10" i="1"/>
  <c r="T18" i="1"/>
  <c r="T26" i="1"/>
  <c r="T34" i="1"/>
  <c r="T42" i="1"/>
  <c r="T11" i="1"/>
  <c r="T19" i="1"/>
  <c r="T27" i="1"/>
  <c r="T35" i="1"/>
  <c r="E5" i="1"/>
  <c r="F27" i="1" s="1"/>
  <c r="F28" i="1" l="1"/>
  <c r="C13" i="1"/>
  <c r="C14" i="1"/>
  <c r="C15" i="1"/>
  <c r="C16" i="1"/>
  <c r="C17" i="1"/>
  <c r="C18" i="1"/>
  <c r="C19" i="1"/>
  <c r="C20" i="1"/>
  <c r="C21" i="1"/>
  <c r="C22" i="1"/>
  <c r="C23" i="1"/>
  <c r="C11" i="1"/>
  <c r="C12" i="1"/>
  <c r="C4" i="1"/>
  <c r="C5" i="1"/>
  <c r="C6" i="1"/>
  <c r="C7" i="1"/>
  <c r="C8" i="1"/>
  <c r="C9" i="1"/>
  <c r="C10" i="1"/>
  <c r="E6" i="1" l="1"/>
  <c r="E27" i="1" s="1"/>
  <c r="E28" i="1" l="1"/>
  <c r="V17" i="1" l="1"/>
  <c r="X17" i="1"/>
  <c r="V19" i="1"/>
  <c r="X19" i="1"/>
  <c r="X35" i="1"/>
  <c r="V35" i="1"/>
  <c r="X10" i="1"/>
  <c r="V10" i="1"/>
  <c r="V25" i="1"/>
  <c r="X25" i="1"/>
  <c r="X22" i="1"/>
  <c r="V22" i="1"/>
  <c r="X44" i="1"/>
  <c r="V44" i="1"/>
  <c r="V13" i="1"/>
  <c r="X13" i="1"/>
  <c r="X27" i="1"/>
  <c r="V27" i="1"/>
  <c r="X8" i="1"/>
  <c r="V8" i="1"/>
  <c r="X43" i="1"/>
  <c r="V43" i="1"/>
  <c r="V24" i="1"/>
  <c r="X24" i="1"/>
  <c r="V38" i="1"/>
  <c r="X38" i="1"/>
  <c r="V12" i="1"/>
  <c r="X12" i="1"/>
  <c r="X41" i="1"/>
  <c r="V41" i="1"/>
  <c r="V14" i="1"/>
  <c r="X14" i="1"/>
  <c r="X36" i="1"/>
  <c r="V36" i="1"/>
  <c r="V4" i="1"/>
  <c r="X4" i="1"/>
  <c r="V3" i="1"/>
  <c r="X3" i="1"/>
  <c r="V21" i="1"/>
  <c r="X21" i="1"/>
  <c r="X31" i="1"/>
  <c r="V31" i="1"/>
  <c r="W19" i="1"/>
  <c r="W35" i="1"/>
  <c r="W10" i="1"/>
  <c r="W25" i="1"/>
  <c r="W22" i="1"/>
  <c r="W17" i="1"/>
  <c r="W44" i="1"/>
  <c r="W13" i="1"/>
  <c r="W27" i="1"/>
  <c r="W8" i="1"/>
  <c r="W43" i="1"/>
  <c r="W24" i="1"/>
  <c r="W38" i="1"/>
  <c r="W12" i="1"/>
  <c r="W41" i="1"/>
  <c r="W14" i="1"/>
  <c r="W36" i="1"/>
  <c r="W4" i="1"/>
  <c r="W3" i="1"/>
  <c r="W21" i="1"/>
  <c r="W31" i="1"/>
  <c r="X26" i="1"/>
  <c r="V26" i="1"/>
  <c r="V34" i="1"/>
  <c r="X34" i="1"/>
  <c r="V20" i="1"/>
  <c r="X20" i="1"/>
  <c r="V7" i="1"/>
  <c r="X7" i="1"/>
  <c r="X32" i="1"/>
  <c r="V32" i="1"/>
  <c r="V9" i="1"/>
  <c r="X9" i="1"/>
  <c r="V33" i="1"/>
  <c r="X33" i="1"/>
  <c r="V29" i="1"/>
  <c r="X29" i="1"/>
  <c r="V18" i="1"/>
  <c r="X18" i="1"/>
  <c r="X16" i="1"/>
  <c r="V16" i="1"/>
  <c r="V6" i="1"/>
  <c r="X6" i="1"/>
  <c r="V28" i="1"/>
  <c r="X28" i="1"/>
  <c r="V15" i="1"/>
  <c r="X15" i="1"/>
  <c r="X5" i="1"/>
  <c r="V5" i="1"/>
  <c r="X37" i="1"/>
  <c r="V37" i="1"/>
  <c r="X39" i="1"/>
  <c r="V39" i="1"/>
  <c r="X42" i="1"/>
  <c r="V42" i="1"/>
  <c r="X40" i="1"/>
  <c r="V40" i="1"/>
  <c r="V23" i="1"/>
  <c r="X23" i="1"/>
  <c r="V30" i="1"/>
  <c r="X30" i="1"/>
  <c r="V11" i="1"/>
  <c r="X11" i="1"/>
  <c r="W18" i="1"/>
  <c r="W39" i="1"/>
  <c r="W34" i="1"/>
  <c r="W42" i="1"/>
  <c r="W16" i="1"/>
  <c r="W20" i="1"/>
  <c r="W40" i="1"/>
  <c r="W6" i="1"/>
  <c r="W7" i="1"/>
  <c r="W23" i="1"/>
  <c r="W28" i="1"/>
  <c r="W32" i="1"/>
  <c r="W9" i="1"/>
  <c r="W15" i="1"/>
  <c r="W30" i="1"/>
  <c r="W33" i="1"/>
  <c r="W5" i="1"/>
  <c r="W11" i="1"/>
  <c r="W37" i="1"/>
  <c r="W29" i="1"/>
  <c r="W26" i="1"/>
  <c r="Z3" i="1" l="1"/>
  <c r="O52" i="1" l="1"/>
  <c r="L52" i="1" s="1"/>
  <c r="P52" i="1"/>
  <c r="L58" i="1" l="1"/>
  <c r="L69" i="1"/>
  <c r="L59" i="1"/>
  <c r="L61" i="1"/>
  <c r="L64" i="1"/>
  <c r="L65" i="1"/>
  <c r="L55" i="1"/>
  <c r="L68" i="1"/>
  <c r="L71" i="1"/>
  <c r="L62" i="1"/>
  <c r="L72" i="1"/>
  <c r="L56" i="1"/>
  <c r="L57" i="1"/>
  <c r="L66" i="1"/>
  <c r="L70" i="1"/>
  <c r="L67" i="1"/>
  <c r="L53" i="1"/>
  <c r="L60" i="1"/>
  <c r="L63" i="1"/>
  <c r="L54" i="1"/>
  <c r="M54" i="1"/>
  <c r="M60" i="1"/>
  <c r="M56" i="1"/>
  <c r="M64" i="1"/>
  <c r="M52" i="1"/>
  <c r="M62" i="1"/>
  <c r="M69" i="1"/>
  <c r="M53" i="1"/>
  <c r="M65" i="1"/>
  <c r="M66" i="1"/>
  <c r="M58" i="1"/>
  <c r="M72" i="1"/>
  <c r="M55" i="1"/>
  <c r="M70" i="1"/>
  <c r="M57" i="1"/>
  <c r="M71" i="1"/>
  <c r="M59" i="1"/>
  <c r="M67" i="1"/>
  <c r="M61" i="1"/>
  <c r="M63" i="1"/>
  <c r="M68" i="1"/>
</calcChain>
</file>

<file path=xl/sharedStrings.xml><?xml version="1.0" encoding="utf-8"?>
<sst xmlns="http://schemas.openxmlformats.org/spreadsheetml/2006/main" count="114" uniqueCount="63">
  <si>
    <t>Slope</t>
  </si>
  <si>
    <t>Intercept</t>
  </si>
  <si>
    <r>
      <t>b</t>
    </r>
    <r>
      <rPr>
        <b/>
        <vertAlign val="subscript"/>
        <sz val="11"/>
        <color theme="1"/>
        <rFont val="Symbol"/>
        <family val="1"/>
        <charset val="2"/>
      </rPr>
      <t>0</t>
    </r>
  </si>
  <si>
    <r>
      <t>b</t>
    </r>
    <r>
      <rPr>
        <b/>
        <vertAlign val="subscript"/>
        <sz val="11"/>
        <color theme="1"/>
        <rFont val="Symbol"/>
        <family val="1"/>
        <charset val="2"/>
      </rPr>
      <t>1</t>
    </r>
  </si>
  <si>
    <r>
      <t>b</t>
    </r>
    <r>
      <rPr>
        <b/>
        <vertAlign val="subscript"/>
        <sz val="11"/>
        <color theme="1"/>
        <rFont val="Symbol"/>
        <family val="1"/>
        <charset val="2"/>
      </rPr>
      <t>2</t>
    </r>
  </si>
  <si>
    <r>
      <rPr>
        <b/>
        <i/>
        <sz val="11"/>
        <color theme="1"/>
        <rFont val="Calibri"/>
        <family val="2"/>
        <scheme val="minor"/>
      </rPr>
      <t>x</t>
    </r>
    <r>
      <rPr>
        <b/>
        <vertAlign val="subscript"/>
        <sz val="11"/>
        <color theme="1"/>
        <rFont val="Calibri"/>
        <family val="2"/>
      </rPr>
      <t>1</t>
    </r>
  </si>
  <si>
    <r>
      <rPr>
        <b/>
        <i/>
        <sz val="11"/>
        <color theme="1"/>
        <rFont val="Calibri"/>
        <family val="2"/>
      </rPr>
      <t>x</t>
    </r>
    <r>
      <rPr>
        <b/>
        <vertAlign val="subscript"/>
        <sz val="11"/>
        <color theme="1"/>
        <rFont val="Calibri"/>
        <family val="2"/>
        <scheme val="minor"/>
      </rPr>
      <t>2</t>
    </r>
  </si>
  <si>
    <t>y</t>
  </si>
  <si>
    <t>M</t>
  </si>
  <si>
    <t>Recall that the distance between a point (x, y) and a line y = mx+b is abs(mx-y+b)/sqrt(m^2+1)</t>
  </si>
  <si>
    <t>Dist</t>
  </si>
  <si>
    <r>
      <t>x</t>
    </r>
    <r>
      <rPr>
        <b/>
        <vertAlign val="subscript"/>
        <sz val="11"/>
        <color theme="1"/>
        <rFont val="Calibri"/>
        <family val="2"/>
      </rPr>
      <t>2OnLine</t>
    </r>
  </si>
  <si>
    <r>
      <t>y*x</t>
    </r>
    <r>
      <rPr>
        <b/>
        <vertAlign val="subscript"/>
        <sz val="11"/>
        <color theme="1"/>
        <rFont val="Calibri"/>
        <family val="2"/>
      </rPr>
      <t>i</t>
    </r>
    <r>
      <rPr>
        <b/>
        <sz val="11"/>
        <color theme="1"/>
        <rFont val="Symbol"/>
        <family val="1"/>
        <charset val="2"/>
      </rPr>
      <t>b</t>
    </r>
  </si>
  <si>
    <r>
      <t>b</t>
    </r>
    <r>
      <rPr>
        <b/>
        <i/>
        <vertAlign val="subscript"/>
        <sz val="11"/>
        <color theme="1"/>
        <rFont val="Symbol"/>
        <family val="1"/>
        <charset val="2"/>
      </rPr>
      <t>1</t>
    </r>
    <r>
      <rPr>
        <b/>
        <i/>
        <vertAlign val="superscript"/>
        <sz val="11"/>
        <color theme="1"/>
        <rFont val="Symbol"/>
        <family val="1"/>
        <charset val="2"/>
      </rPr>
      <t>2</t>
    </r>
    <r>
      <rPr>
        <b/>
        <i/>
        <sz val="11"/>
        <color theme="1"/>
        <rFont val="Symbol"/>
        <family val="1"/>
        <charset val="2"/>
      </rPr>
      <t xml:space="preserve"> + b</t>
    </r>
    <r>
      <rPr>
        <b/>
        <i/>
        <vertAlign val="subscript"/>
        <sz val="11"/>
        <color theme="1"/>
        <rFont val="Symbol"/>
        <family val="1"/>
        <charset val="2"/>
      </rPr>
      <t>2</t>
    </r>
    <r>
      <rPr>
        <b/>
        <i/>
        <vertAlign val="superscript"/>
        <sz val="11"/>
        <color theme="1"/>
        <rFont val="Symbol"/>
        <family val="1"/>
        <charset val="2"/>
      </rPr>
      <t>2</t>
    </r>
  </si>
  <si>
    <r>
      <t>x</t>
    </r>
    <r>
      <rPr>
        <b/>
        <vertAlign val="subscript"/>
        <sz val="11"/>
        <color theme="1"/>
        <rFont val="Calibri"/>
        <family val="2"/>
      </rPr>
      <t>i</t>
    </r>
    <r>
      <rPr>
        <b/>
        <sz val="11"/>
        <color theme="1"/>
        <rFont val="Symbol"/>
        <family val="1"/>
        <charset val="2"/>
      </rPr>
      <t>b</t>
    </r>
  </si>
  <si>
    <t xml:space="preserve">&lt;--A scaler multiple of the original betas </t>
  </si>
  <si>
    <t xml:space="preserve">&lt;--Multiply values in the row above by -beta2 to get </t>
  </si>
  <si>
    <t xml:space="preserve">     back original betas</t>
  </si>
  <si>
    <t>&lt;--Start here</t>
  </si>
  <si>
    <t>&lt;--Get here manually</t>
  </si>
  <si>
    <t>Then Solve with Solver</t>
  </si>
  <si>
    <t>Line</t>
  </si>
  <si>
    <t>Demo</t>
  </si>
  <si>
    <t>x1</t>
  </si>
  <si>
    <t>x2</t>
  </si>
  <si>
    <t>x3</t>
  </si>
  <si>
    <t>x4</t>
  </si>
  <si>
    <t>x5</t>
  </si>
  <si>
    <t>Obs 1</t>
  </si>
  <si>
    <t>Obs 2</t>
  </si>
  <si>
    <t>ScaledObs1</t>
  </si>
  <si>
    <t>ScaledObs2</t>
  </si>
  <si>
    <t>Correlation</t>
  </si>
  <si>
    <t>Mean</t>
  </si>
  <si>
    <t>Stdev</t>
  </si>
  <si>
    <t>InnerProduct/(p-1)</t>
  </si>
  <si>
    <t>Inner product of two (standardized) observations is the correlation coefficient (divided by p-1)</t>
  </si>
  <si>
    <t>Margin Plots</t>
  </si>
  <si>
    <t>Red</t>
  </si>
  <si>
    <t>Blue</t>
  </si>
  <si>
    <t>Margin Intercepts</t>
  </si>
  <si>
    <t>e</t>
  </si>
  <si>
    <t>Sum epsilons</t>
  </si>
  <si>
    <t>C</t>
  </si>
  <si>
    <r>
      <t>y*x</t>
    </r>
    <r>
      <rPr>
        <b/>
        <vertAlign val="subscript"/>
        <sz val="11"/>
        <color theme="1"/>
        <rFont val="Calibri"/>
        <family val="2"/>
      </rPr>
      <t>i</t>
    </r>
    <r>
      <rPr>
        <b/>
        <sz val="11"/>
        <color theme="1"/>
        <rFont val="Symbol"/>
        <family val="1"/>
        <charset val="2"/>
      </rPr>
      <t>b/(1-e)</t>
    </r>
  </si>
  <si>
    <t>Set C=0, Reset and solve</t>
  </si>
  <si>
    <t>Change blue (4,3) to (4,-20) - incorrectly classified</t>
  </si>
  <si>
    <t>No feasible solution (no prefect separating hyperplane)</t>
  </si>
  <si>
    <t>Reset and solve</t>
  </si>
  <si>
    <t>Finds a solution with M = 7.69</t>
  </si>
  <si>
    <t>Finds a solution with M = 6.47</t>
  </si>
  <si>
    <t>Finds a solution with M = 5.87</t>
  </si>
  <si>
    <t>Reset, set C to 1.1, make point's epsilon =C (to give it a nudge), and solve</t>
  </si>
  <si>
    <t>Reset, set C to 1.5, make point's epsilon = C (to give it a nudge), and solve</t>
  </si>
  <si>
    <t>Reset, set C to 2, make point's epsilon = C (to give it a nudge), and solve</t>
  </si>
  <si>
    <t>Reset, set C to 3, make point's epsilon = C (to give it a nudge), and solve</t>
  </si>
  <si>
    <t>Reset, set C to 1.01, make point's epsilon =C (to give it a nudge), and solve</t>
  </si>
  <si>
    <t>Finds a solution with M = 4.36</t>
  </si>
  <si>
    <t>Same solution as MM Classifier - M = 4.69</t>
  </si>
  <si>
    <t>x</t>
  </si>
  <si>
    <t>y1</t>
  </si>
  <si>
    <t>y2</t>
  </si>
  <si>
    <t>Finds a solution with M = 4.57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</si>
</sst>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b/>
      <vertAlign val="subscript"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1"/>
      <color theme="1"/>
      <name val="Symbol"/>
      <family val="1"/>
      <charset val="2"/>
    </font>
    <font>
      <b/>
      <i/>
      <vertAlign val="subscript"/>
      <sz val="11"/>
      <color theme="1"/>
      <name val="Symbol"/>
      <family val="1"/>
      <charset val="2"/>
    </font>
    <font>
      <b/>
      <i/>
      <vertAlign val="superscript"/>
      <sz val="11"/>
      <color theme="1"/>
      <name val="Symbol"/>
      <family val="1"/>
      <charset val="2"/>
    </font>
    <font>
      <b/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0" xfId="0" applyFont="1" applyAlignment="1">
      <alignment horizontal="center"/>
    </xf>
    <xf numFmtId="0" fontId="15" fillId="0" borderId="0" xfId="0" applyFont="1"/>
    <xf numFmtId="0" fontId="1" fillId="0" borderId="0" xfId="0" applyFont="1" applyFill="1" applyBorder="1" applyAlignment="1">
      <alignment horizontal="center"/>
    </xf>
    <xf numFmtId="0" fontId="0" fillId="0" borderId="2" xfId="0" applyBorder="1"/>
    <xf numFmtId="0" fontId="9" fillId="0" borderId="1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8" fillId="2" borderId="2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left" indent="1"/>
    </xf>
    <xf numFmtId="0" fontId="0" fillId="0" borderId="3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3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MaximalMarginClassifier!$B$3:$B$23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MaximalMarginClassifier!$C$3:$C$23</c:f>
              <c:numCache>
                <c:formatCode>General</c:formatCode>
                <c:ptCount val="21"/>
                <c:pt idx="0">
                  <c:v>6.7180009184642797</c:v>
                </c:pt>
                <c:pt idx="1">
                  <c:v>5.974409346733915</c:v>
                </c:pt>
                <c:pt idx="2">
                  <c:v>5.2308177750035503</c:v>
                </c:pt>
                <c:pt idx="3">
                  <c:v>4.4872262032731856</c:v>
                </c:pt>
                <c:pt idx="4">
                  <c:v>3.7436346315428208</c:v>
                </c:pt>
                <c:pt idx="5">
                  <c:v>3.000043059812457</c:v>
                </c:pt>
                <c:pt idx="6">
                  <c:v>2.2564514880820923</c:v>
                </c:pt>
                <c:pt idx="7">
                  <c:v>1.5128599163517276</c:v>
                </c:pt>
                <c:pt idx="8">
                  <c:v>0.76926834462136329</c:v>
                </c:pt>
                <c:pt idx="9">
                  <c:v>2.5676772890998789E-2</c:v>
                </c:pt>
                <c:pt idx="10">
                  <c:v>-0.71791479883936571</c:v>
                </c:pt>
                <c:pt idx="11">
                  <c:v>-1.4615063705697302</c:v>
                </c:pt>
                <c:pt idx="12">
                  <c:v>-2.2050979423000947</c:v>
                </c:pt>
                <c:pt idx="13">
                  <c:v>-2.948689514030459</c:v>
                </c:pt>
                <c:pt idx="14">
                  <c:v>-3.6922810857608237</c:v>
                </c:pt>
                <c:pt idx="15">
                  <c:v>-4.4358726574911884</c:v>
                </c:pt>
                <c:pt idx="16">
                  <c:v>-5.1794642292215523</c:v>
                </c:pt>
                <c:pt idx="17">
                  <c:v>-5.923055800951917</c:v>
                </c:pt>
                <c:pt idx="18">
                  <c:v>-6.6666473726822817</c:v>
                </c:pt>
                <c:pt idx="19">
                  <c:v>-7.4102389444126464</c:v>
                </c:pt>
                <c:pt idx="20">
                  <c:v>-8.1538305161430102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B5-4FDB-A747-27FA039D55F1}"/>
            </c:ext>
          </c:extLst>
        </c:ser>
        <c:ser>
          <c:idx val="1"/>
          <c:order val="1"/>
          <c:tx>
            <c:v>Blues</c:v>
          </c:tx>
          <c:spPr>
            <a:ln w="254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5400" cap="rnd">
                  <a:solidFill>
                    <a:prstClr val="black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chemeClr val="accent5"/>
              </a:solidFill>
              <a:ln w="25400">
                <a:noFill/>
              </a:ln>
              <a:effectLst/>
            </c:spPr>
          </c:marker>
          <c:xVal>
            <c:numRef>
              <c:f>MaximalMarginClassifier!$S$3:$S$23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MaximalMarginClassifier!$U$3:$U$23</c:f>
              <c:numCache>
                <c:formatCode>General</c:formatCode>
                <c:ptCount val="21"/>
                <c:pt idx="0">
                  <c:v>35.333333333333336</c:v>
                </c:pt>
                <c:pt idx="1">
                  <c:v>31.666666666666668</c:v>
                </c:pt>
                <c:pt idx="2">
                  <c:v>26</c:v>
                </c:pt>
                <c:pt idx="3">
                  <c:v>31.333333333333332</c:v>
                </c:pt>
                <c:pt idx="4">
                  <c:v>31.666666666666668</c:v>
                </c:pt>
                <c:pt idx="5">
                  <c:v>17</c:v>
                </c:pt>
                <c:pt idx="6">
                  <c:v>31.333333333333332</c:v>
                </c:pt>
                <c:pt idx="7">
                  <c:v>10.666666666666666</c:v>
                </c:pt>
                <c:pt idx="8">
                  <c:v>27</c:v>
                </c:pt>
                <c:pt idx="9">
                  <c:v>28.333333333333332</c:v>
                </c:pt>
                <c:pt idx="10">
                  <c:v>28.666666666666668</c:v>
                </c:pt>
                <c:pt idx="11">
                  <c:v>19</c:v>
                </c:pt>
                <c:pt idx="12">
                  <c:v>23.333333333333332</c:v>
                </c:pt>
                <c:pt idx="13">
                  <c:v>10.666666666666666</c:v>
                </c:pt>
                <c:pt idx="14">
                  <c:v>3</c:v>
                </c:pt>
                <c:pt idx="15">
                  <c:v>20.333333333333332</c:v>
                </c:pt>
                <c:pt idx="16">
                  <c:v>0.66666666666666696</c:v>
                </c:pt>
                <c:pt idx="17">
                  <c:v>24</c:v>
                </c:pt>
                <c:pt idx="18">
                  <c:v>19.333333333333336</c:v>
                </c:pt>
                <c:pt idx="19">
                  <c:v>17.666666666666668</c:v>
                </c:pt>
                <c:pt idx="20">
                  <c:v>3.0000000000000009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E0-4793-B0E9-11D60004F95E}"/>
            </c:ext>
          </c:extLst>
        </c:ser>
        <c:ser>
          <c:idx val="2"/>
          <c:order val="2"/>
          <c:tx>
            <c:v>Reds</c:v>
          </c:tx>
          <c:spPr>
            <a:ln w="254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5400" cap="rnd">
                  <a:solidFill>
                    <a:prstClr val="black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25400">
                <a:noFill/>
              </a:ln>
              <a:effectLst/>
            </c:spPr>
          </c:marker>
          <c:xVal>
            <c:numRef>
              <c:f>MaximalMarginClassifier!$S$24:$S$44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MaximalMarginClassifier!$U$24:$U$44</c:f>
              <c:numCache>
                <c:formatCode>General</c:formatCode>
                <c:ptCount val="21"/>
                <c:pt idx="0">
                  <c:v>-15.666666666666668</c:v>
                </c:pt>
                <c:pt idx="1">
                  <c:v>-24.333333333333332</c:v>
                </c:pt>
                <c:pt idx="2">
                  <c:v>-2</c:v>
                </c:pt>
                <c:pt idx="3">
                  <c:v>-25.666666666666668</c:v>
                </c:pt>
                <c:pt idx="4">
                  <c:v>-9.3333333333333339</c:v>
                </c:pt>
                <c:pt idx="5">
                  <c:v>-4</c:v>
                </c:pt>
                <c:pt idx="6">
                  <c:v>-16.666666666666668</c:v>
                </c:pt>
                <c:pt idx="7">
                  <c:v>-4.333333333333333</c:v>
                </c:pt>
                <c:pt idx="8">
                  <c:v>-28</c:v>
                </c:pt>
                <c:pt idx="9">
                  <c:v>-22.666666666666668</c:v>
                </c:pt>
                <c:pt idx="10">
                  <c:v>-12.333333333333334</c:v>
                </c:pt>
                <c:pt idx="11">
                  <c:v>-15</c:v>
                </c:pt>
                <c:pt idx="12">
                  <c:v>-17.666666666666668</c:v>
                </c:pt>
                <c:pt idx="13">
                  <c:v>-13.333333333333334</c:v>
                </c:pt>
                <c:pt idx="14">
                  <c:v>-22</c:v>
                </c:pt>
                <c:pt idx="15">
                  <c:v>-23.666666666666668</c:v>
                </c:pt>
                <c:pt idx="16">
                  <c:v>-28.333333333333332</c:v>
                </c:pt>
                <c:pt idx="17">
                  <c:v>-27</c:v>
                </c:pt>
                <c:pt idx="18">
                  <c:v>-35.666666666666664</c:v>
                </c:pt>
                <c:pt idx="19">
                  <c:v>-36.333333333333336</c:v>
                </c:pt>
                <c:pt idx="20">
                  <c:v>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E0-4793-B0E9-11D60004F95E}"/>
            </c:ext>
          </c:extLst>
        </c:ser>
        <c:ser>
          <c:idx val="3"/>
          <c:order val="3"/>
          <c:spPr>
            <a:ln w="1905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MaximalMarginClassifier!$K$52:$K$72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MaximalMarginClassifier!$L$52:$L$72</c:f>
              <c:numCache>
                <c:formatCode>General</c:formatCode>
                <c:ptCount val="21"/>
                <c:pt idx="0">
                  <c:v>0.8718443283524131</c:v>
                </c:pt>
                <c:pt idx="1">
                  <c:v>0.12825275662204838</c:v>
                </c:pt>
                <c:pt idx="2">
                  <c:v>-0.61533881510831634</c:v>
                </c:pt>
                <c:pt idx="3">
                  <c:v>-1.3589303868386811</c:v>
                </c:pt>
                <c:pt idx="4">
                  <c:v>-2.1025219585690458</c:v>
                </c:pt>
                <c:pt idx="5">
                  <c:v>-2.8461135302994096</c:v>
                </c:pt>
                <c:pt idx="6">
                  <c:v>-3.5897051020297743</c:v>
                </c:pt>
                <c:pt idx="7">
                  <c:v>-4.3332966737601391</c:v>
                </c:pt>
                <c:pt idx="8">
                  <c:v>-5.0768882454905029</c:v>
                </c:pt>
                <c:pt idx="9">
                  <c:v>-5.8204798172208676</c:v>
                </c:pt>
                <c:pt idx="10">
                  <c:v>-6.5640713889512323</c:v>
                </c:pt>
                <c:pt idx="11">
                  <c:v>-7.307662960681597</c:v>
                </c:pt>
                <c:pt idx="12">
                  <c:v>-8.0512545324119618</c:v>
                </c:pt>
                <c:pt idx="13">
                  <c:v>-8.7948461041423265</c:v>
                </c:pt>
                <c:pt idx="14">
                  <c:v>-9.5384376758726894</c:v>
                </c:pt>
                <c:pt idx="15">
                  <c:v>-10.282029247603056</c:v>
                </c:pt>
                <c:pt idx="16">
                  <c:v>-11.025620819333419</c:v>
                </c:pt>
                <c:pt idx="17">
                  <c:v>-11.769212391063784</c:v>
                </c:pt>
                <c:pt idx="18">
                  <c:v>-12.512803962794148</c:v>
                </c:pt>
                <c:pt idx="19">
                  <c:v>-13.256395534524513</c:v>
                </c:pt>
                <c:pt idx="20">
                  <c:v>-13.999987106254878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A1-450E-B941-523E38270D4B}"/>
            </c:ext>
          </c:extLst>
        </c:ser>
        <c:ser>
          <c:idx val="4"/>
          <c:order val="4"/>
          <c:spPr>
            <a:ln w="1905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MaximalMarginClassifier!$K$52:$K$72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MaximalMarginClassifier!$M$52:$M$72</c:f>
              <c:numCache>
                <c:formatCode>General</c:formatCode>
                <c:ptCount val="21"/>
                <c:pt idx="0">
                  <c:v>12.564157508576146</c:v>
                </c:pt>
                <c:pt idx="1">
                  <c:v>11.820565936845782</c:v>
                </c:pt>
                <c:pt idx="2">
                  <c:v>11.076974365115417</c:v>
                </c:pt>
                <c:pt idx="3">
                  <c:v>10.333382793385052</c:v>
                </c:pt>
                <c:pt idx="4">
                  <c:v>9.5897912216546874</c:v>
                </c:pt>
                <c:pt idx="5">
                  <c:v>8.8461996499243227</c:v>
                </c:pt>
                <c:pt idx="6">
                  <c:v>8.1026080781939598</c:v>
                </c:pt>
                <c:pt idx="7">
                  <c:v>7.3590165064635942</c:v>
                </c:pt>
                <c:pt idx="8">
                  <c:v>6.6154249347332303</c:v>
                </c:pt>
                <c:pt idx="9">
                  <c:v>5.8718333630028656</c:v>
                </c:pt>
                <c:pt idx="10">
                  <c:v>5.1282417912725009</c:v>
                </c:pt>
                <c:pt idx="11">
                  <c:v>4.3846502195421362</c:v>
                </c:pt>
                <c:pt idx="12">
                  <c:v>3.6410586478117719</c:v>
                </c:pt>
                <c:pt idx="13">
                  <c:v>2.8974670760814076</c:v>
                </c:pt>
                <c:pt idx="14">
                  <c:v>2.1538755043510429</c:v>
                </c:pt>
                <c:pt idx="15">
                  <c:v>1.4102839326206782</c:v>
                </c:pt>
                <c:pt idx="16">
                  <c:v>0.66669236089031436</c:v>
                </c:pt>
                <c:pt idx="17">
                  <c:v>-7.6899210840050358E-2</c:v>
                </c:pt>
                <c:pt idx="18">
                  <c:v>-0.82049078257041508</c:v>
                </c:pt>
                <c:pt idx="19">
                  <c:v>-1.5640823543007798</c:v>
                </c:pt>
                <c:pt idx="20">
                  <c:v>-2.3076739260311445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A1-450E-B941-523E38270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98272"/>
        <c:axId val="87205344"/>
      </c:scatterChart>
      <c:valAx>
        <c:axId val="87198272"/>
        <c:scaling>
          <c:orientation val="minMax"/>
          <c:max val="10"/>
          <c:min val="-1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05344"/>
        <c:crosses val="autoZero"/>
        <c:crossBetween val="midCat"/>
      </c:valAx>
      <c:valAx>
        <c:axId val="87205344"/>
        <c:scaling>
          <c:orientation val="minMax"/>
          <c:max val="40"/>
          <c:min val="-4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9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ysClr val="windowText" lastClr="000000"/>
              </a:solidFill>
              <a:round/>
            </a:ln>
            <a:effectLst/>
            <a:ex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  <a:extLst/>
            </c:spPr>
          </c:marker>
          <c:xVal>
            <c:numRef>
              <c:f>SupportVectorClassifier!$B$3:$B$23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SupportVectorClassifier!$C$3:$C$23</c:f>
              <c:numCache>
                <c:formatCode>General</c:formatCode>
                <c:ptCount val="21"/>
                <c:pt idx="0">
                  <c:v>6.333333333333333</c:v>
                </c:pt>
                <c:pt idx="1">
                  <c:v>5.666666666666667</c:v>
                </c:pt>
                <c:pt idx="2">
                  <c:v>5</c:v>
                </c:pt>
                <c:pt idx="3">
                  <c:v>4.333333333333333</c:v>
                </c:pt>
                <c:pt idx="4">
                  <c:v>3.6666666666666665</c:v>
                </c:pt>
                <c:pt idx="5">
                  <c:v>2.9999999999999996</c:v>
                </c:pt>
                <c:pt idx="6">
                  <c:v>2.333333333333333</c:v>
                </c:pt>
                <c:pt idx="7">
                  <c:v>1.6666666666666667</c:v>
                </c:pt>
                <c:pt idx="8">
                  <c:v>1</c:v>
                </c:pt>
                <c:pt idx="9">
                  <c:v>0.33333333333333331</c:v>
                </c:pt>
                <c:pt idx="10">
                  <c:v>-0.33333333333333331</c:v>
                </c:pt>
                <c:pt idx="11">
                  <c:v>-1</c:v>
                </c:pt>
                <c:pt idx="12">
                  <c:v>-1.6666666666666665</c:v>
                </c:pt>
                <c:pt idx="13">
                  <c:v>-2.3333333333333335</c:v>
                </c:pt>
                <c:pt idx="14">
                  <c:v>-3</c:v>
                </c:pt>
                <c:pt idx="15">
                  <c:v>-3.6666666666666665</c:v>
                </c:pt>
                <c:pt idx="16">
                  <c:v>-4.333333333333333</c:v>
                </c:pt>
                <c:pt idx="17">
                  <c:v>-4.9999999999999991</c:v>
                </c:pt>
                <c:pt idx="18">
                  <c:v>-5.6666666666666661</c:v>
                </c:pt>
                <c:pt idx="19">
                  <c:v>-6.333333333333333</c:v>
                </c:pt>
                <c:pt idx="20">
                  <c:v>-6.9999999999999991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60-4C52-B2B5-039063BA3C15}"/>
            </c:ext>
          </c:extLst>
        </c:ser>
        <c:ser>
          <c:idx val="1"/>
          <c:order val="1"/>
          <c:tx>
            <c:v>Blues</c:v>
          </c:tx>
          <c:spPr>
            <a:ln w="254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5400" cap="rnd">
                  <a:solidFill>
                    <a:prstClr val="black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chemeClr val="accent5"/>
              </a:solidFill>
              <a:ln w="25400">
                <a:noFill/>
              </a:ln>
              <a:effectLst/>
            </c:spPr>
          </c:marker>
          <c:xVal>
            <c:numRef>
              <c:f>SupportVectorClassifier!$S$3:$S$23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SupportVectorClassifier!$U$3:$U$23</c:f>
              <c:numCache>
                <c:formatCode>General</c:formatCode>
                <c:ptCount val="21"/>
                <c:pt idx="0">
                  <c:v>35.333333333333336</c:v>
                </c:pt>
                <c:pt idx="1">
                  <c:v>31.666666666666668</c:v>
                </c:pt>
                <c:pt idx="2">
                  <c:v>26</c:v>
                </c:pt>
                <c:pt idx="3">
                  <c:v>31.333333333333332</c:v>
                </c:pt>
                <c:pt idx="4">
                  <c:v>31.666666666666668</c:v>
                </c:pt>
                <c:pt idx="5">
                  <c:v>17</c:v>
                </c:pt>
                <c:pt idx="6">
                  <c:v>31.333333333333332</c:v>
                </c:pt>
                <c:pt idx="7">
                  <c:v>10.666666666666666</c:v>
                </c:pt>
                <c:pt idx="8">
                  <c:v>27</c:v>
                </c:pt>
                <c:pt idx="9">
                  <c:v>28.333333333333332</c:v>
                </c:pt>
                <c:pt idx="10">
                  <c:v>28.666666666666668</c:v>
                </c:pt>
                <c:pt idx="11">
                  <c:v>19</c:v>
                </c:pt>
                <c:pt idx="12">
                  <c:v>23.333333333333332</c:v>
                </c:pt>
                <c:pt idx="13">
                  <c:v>10.666666666666666</c:v>
                </c:pt>
                <c:pt idx="14">
                  <c:v>3</c:v>
                </c:pt>
                <c:pt idx="15">
                  <c:v>20.333333333333332</c:v>
                </c:pt>
                <c:pt idx="16">
                  <c:v>0.66666666666666696</c:v>
                </c:pt>
                <c:pt idx="17">
                  <c:v>24</c:v>
                </c:pt>
                <c:pt idx="18">
                  <c:v>19.333333333333336</c:v>
                </c:pt>
                <c:pt idx="19">
                  <c:v>17.666666666666668</c:v>
                </c:pt>
                <c:pt idx="20">
                  <c:v>3.0000000000000009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60-4C52-B2B5-039063BA3C15}"/>
            </c:ext>
          </c:extLst>
        </c:ser>
        <c:ser>
          <c:idx val="2"/>
          <c:order val="2"/>
          <c:tx>
            <c:v>Reds</c:v>
          </c:tx>
          <c:spPr>
            <a:ln w="254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5400" cap="rnd">
                  <a:solidFill>
                    <a:prstClr val="black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25400">
                <a:noFill/>
              </a:ln>
              <a:effectLst/>
            </c:spPr>
          </c:marker>
          <c:xVal>
            <c:numRef>
              <c:f>SupportVectorClassifier!$S$24:$S$44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SupportVectorClassifier!$U$24:$U$44</c:f>
              <c:numCache>
                <c:formatCode>General</c:formatCode>
                <c:ptCount val="21"/>
                <c:pt idx="0">
                  <c:v>-15.666666666666668</c:v>
                </c:pt>
                <c:pt idx="1">
                  <c:v>-24.333333333333332</c:v>
                </c:pt>
                <c:pt idx="2">
                  <c:v>-2</c:v>
                </c:pt>
                <c:pt idx="3">
                  <c:v>-25.666666666666668</c:v>
                </c:pt>
                <c:pt idx="4">
                  <c:v>-9.3333333333333339</c:v>
                </c:pt>
                <c:pt idx="5">
                  <c:v>-4</c:v>
                </c:pt>
                <c:pt idx="6">
                  <c:v>-16.666666666666668</c:v>
                </c:pt>
                <c:pt idx="7">
                  <c:v>-4.333333333333333</c:v>
                </c:pt>
                <c:pt idx="8">
                  <c:v>-28</c:v>
                </c:pt>
                <c:pt idx="9">
                  <c:v>-22.666666666666668</c:v>
                </c:pt>
                <c:pt idx="10">
                  <c:v>-12.333333333333334</c:v>
                </c:pt>
                <c:pt idx="11">
                  <c:v>-15</c:v>
                </c:pt>
                <c:pt idx="12">
                  <c:v>-17.666666666666668</c:v>
                </c:pt>
                <c:pt idx="13">
                  <c:v>-13.333333333333334</c:v>
                </c:pt>
                <c:pt idx="14">
                  <c:v>-22</c:v>
                </c:pt>
                <c:pt idx="15">
                  <c:v>-23.666666666666668</c:v>
                </c:pt>
                <c:pt idx="16">
                  <c:v>-28.333333333333332</c:v>
                </c:pt>
                <c:pt idx="17">
                  <c:v>-27</c:v>
                </c:pt>
                <c:pt idx="18">
                  <c:v>-35.666666666666664</c:v>
                </c:pt>
                <c:pt idx="19">
                  <c:v>-36.333333333333336</c:v>
                </c:pt>
                <c:pt idx="20">
                  <c:v>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60-4C52-B2B5-039063BA3C15}"/>
            </c:ext>
          </c:extLst>
        </c:ser>
        <c:ser>
          <c:idx val="3"/>
          <c:order val="3"/>
          <c:spPr>
            <a:ln w="19050" cap="rnd">
              <a:solidFill>
                <a:srgbClr val="FF0000"/>
              </a:solidFill>
              <a:round/>
            </a:ln>
            <a:effectLst/>
            <a:extLst/>
          </c:spPr>
          <c:marker>
            <c:symbol val="none"/>
          </c:marker>
          <c:xVal>
            <c:numRef>
              <c:f>SupportVectorClassifier!$K$52:$K$72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SupportVectorClassifier!$L$52:$L$72</c:f>
              <c:numCache>
                <c:formatCode>General</c:formatCode>
                <c:ptCount val="21"/>
                <c:pt idx="0">
                  <c:v>-11.694423043986612</c:v>
                </c:pt>
                <c:pt idx="1">
                  <c:v>-12.361089710653278</c:v>
                </c:pt>
                <c:pt idx="2">
                  <c:v>-13.027756377319946</c:v>
                </c:pt>
                <c:pt idx="3">
                  <c:v>-13.694423043986612</c:v>
                </c:pt>
                <c:pt idx="4">
                  <c:v>-14.361089710653278</c:v>
                </c:pt>
                <c:pt idx="5">
                  <c:v>-15.027756377319946</c:v>
                </c:pt>
                <c:pt idx="6">
                  <c:v>-15.694423043986612</c:v>
                </c:pt>
                <c:pt idx="7">
                  <c:v>-16.361089710653278</c:v>
                </c:pt>
                <c:pt idx="8">
                  <c:v>-17.027756377319946</c:v>
                </c:pt>
                <c:pt idx="9">
                  <c:v>-17.69442304398661</c:v>
                </c:pt>
                <c:pt idx="10">
                  <c:v>-18.361089710653278</c:v>
                </c:pt>
                <c:pt idx="11">
                  <c:v>-19.027756377319946</c:v>
                </c:pt>
                <c:pt idx="12">
                  <c:v>-19.69442304398661</c:v>
                </c:pt>
                <c:pt idx="13">
                  <c:v>-20.361089710653278</c:v>
                </c:pt>
                <c:pt idx="14">
                  <c:v>-21.027756377319946</c:v>
                </c:pt>
                <c:pt idx="15">
                  <c:v>-21.69442304398661</c:v>
                </c:pt>
                <c:pt idx="16">
                  <c:v>-22.361089710653278</c:v>
                </c:pt>
                <c:pt idx="17">
                  <c:v>-23.027756377319946</c:v>
                </c:pt>
                <c:pt idx="18">
                  <c:v>-23.69442304398661</c:v>
                </c:pt>
                <c:pt idx="19">
                  <c:v>-24.361089710653278</c:v>
                </c:pt>
                <c:pt idx="20">
                  <c:v>-25.027756377319946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60-4C52-B2B5-039063BA3C15}"/>
            </c:ext>
          </c:extLst>
        </c:ser>
        <c:ser>
          <c:idx val="4"/>
          <c:order val="4"/>
          <c:spPr>
            <a:ln w="19050" cap="rnd">
              <a:solidFill>
                <a:srgbClr val="4472C4"/>
              </a:solidFill>
              <a:round/>
            </a:ln>
            <a:effectLst/>
            <a:extLst/>
          </c:spPr>
          <c:marker>
            <c:symbol val="none"/>
          </c:marker>
          <c:xVal>
            <c:numRef>
              <c:f>SupportVectorClassifier!$K$52:$K$72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SupportVectorClassifier!$M$52:$M$72</c:f>
              <c:numCache>
                <c:formatCode>General</c:formatCode>
                <c:ptCount val="21"/>
                <c:pt idx="0">
                  <c:v>24.361089710653282</c:v>
                </c:pt>
                <c:pt idx="1">
                  <c:v>23.694423043986614</c:v>
                </c:pt>
                <c:pt idx="2">
                  <c:v>23.027756377319946</c:v>
                </c:pt>
                <c:pt idx="3">
                  <c:v>22.361089710653282</c:v>
                </c:pt>
                <c:pt idx="4">
                  <c:v>21.694423043986614</c:v>
                </c:pt>
                <c:pt idx="5">
                  <c:v>21.027756377319946</c:v>
                </c:pt>
                <c:pt idx="6">
                  <c:v>20.361089710653282</c:v>
                </c:pt>
                <c:pt idx="7">
                  <c:v>19.694423043986614</c:v>
                </c:pt>
                <c:pt idx="8">
                  <c:v>19.027756377319946</c:v>
                </c:pt>
                <c:pt idx="9">
                  <c:v>18.361089710653282</c:v>
                </c:pt>
                <c:pt idx="10">
                  <c:v>17.694423043986614</c:v>
                </c:pt>
                <c:pt idx="11">
                  <c:v>17.027756377319946</c:v>
                </c:pt>
                <c:pt idx="12">
                  <c:v>16.361089710653282</c:v>
                </c:pt>
                <c:pt idx="13">
                  <c:v>15.694423043986614</c:v>
                </c:pt>
                <c:pt idx="14">
                  <c:v>15.027756377319948</c:v>
                </c:pt>
                <c:pt idx="15">
                  <c:v>14.361089710653282</c:v>
                </c:pt>
                <c:pt idx="16">
                  <c:v>13.694423043986614</c:v>
                </c:pt>
                <c:pt idx="17">
                  <c:v>13.027756377319948</c:v>
                </c:pt>
                <c:pt idx="18">
                  <c:v>12.361089710653282</c:v>
                </c:pt>
                <c:pt idx="19">
                  <c:v>11.694423043986614</c:v>
                </c:pt>
                <c:pt idx="20">
                  <c:v>11.027756377319948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60-4C52-B2B5-039063BA3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98272"/>
        <c:axId val="87205344"/>
      </c:scatterChart>
      <c:valAx>
        <c:axId val="87198272"/>
        <c:scaling>
          <c:orientation val="minMax"/>
          <c:max val="10"/>
          <c:min val="-1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05344"/>
        <c:crosses val="autoZero"/>
        <c:crossBetween val="midCat"/>
      </c:valAx>
      <c:valAx>
        <c:axId val="87205344"/>
        <c:scaling>
          <c:orientation val="minMax"/>
          <c:max val="40"/>
          <c:min val="-4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9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1/(1-</a:t>
            </a:r>
            <a:r>
              <a:rPr lang="en-US">
                <a:latin typeface="Symbol" panose="05050102010706020507" pitchFamily="18" charset="2"/>
              </a:rPr>
              <a:t>e</a:t>
            </a:r>
            <a:r>
              <a:rPr lang="en-US"/>
              <a:t>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Epsilon!$C$3:$C$203</c:f>
              <c:numCache>
                <c:formatCode>General</c:formatCode>
                <c:ptCount val="2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</c:numCache>
            </c:numRef>
          </c:xVal>
          <c:yVal>
            <c:numRef>
              <c:f>Epsilon!$D$3:$D$203</c:f>
              <c:numCache>
                <c:formatCode>General</c:formatCode>
                <c:ptCount val="201"/>
                <c:pt idx="0">
                  <c:v>1</c:v>
                </c:pt>
                <c:pt idx="1">
                  <c:v>1.0101010101010102</c:v>
                </c:pt>
                <c:pt idx="2">
                  <c:v>1.0204081632653061</c:v>
                </c:pt>
                <c:pt idx="3">
                  <c:v>1.0309278350515465</c:v>
                </c:pt>
                <c:pt idx="4">
                  <c:v>1.0416666666666667</c:v>
                </c:pt>
                <c:pt idx="5">
                  <c:v>1.0526315789473684</c:v>
                </c:pt>
                <c:pt idx="6">
                  <c:v>1.0638297872340425</c:v>
                </c:pt>
                <c:pt idx="7">
                  <c:v>1.0752688172043012</c:v>
                </c:pt>
                <c:pt idx="8">
                  <c:v>1.0869565217391304</c:v>
                </c:pt>
                <c:pt idx="9">
                  <c:v>1.0989010989010988</c:v>
                </c:pt>
                <c:pt idx="10">
                  <c:v>1.1111111111111112</c:v>
                </c:pt>
                <c:pt idx="11">
                  <c:v>1.1235955056179776</c:v>
                </c:pt>
                <c:pt idx="12">
                  <c:v>1.1363636363636365</c:v>
                </c:pt>
                <c:pt idx="13">
                  <c:v>1.1494252873563218</c:v>
                </c:pt>
                <c:pt idx="14">
                  <c:v>1.1627906976744187</c:v>
                </c:pt>
                <c:pt idx="15">
                  <c:v>1.1764705882352942</c:v>
                </c:pt>
                <c:pt idx="16">
                  <c:v>1.1904761904761905</c:v>
                </c:pt>
                <c:pt idx="17">
                  <c:v>1.2048192771084338</c:v>
                </c:pt>
                <c:pt idx="18">
                  <c:v>1.2195121951219512</c:v>
                </c:pt>
                <c:pt idx="19">
                  <c:v>1.2345679012345678</c:v>
                </c:pt>
                <c:pt idx="20">
                  <c:v>1.25</c:v>
                </c:pt>
                <c:pt idx="21">
                  <c:v>1.2658227848101264</c:v>
                </c:pt>
                <c:pt idx="22">
                  <c:v>1.2820512820512819</c:v>
                </c:pt>
                <c:pt idx="23">
                  <c:v>1.2987012987012987</c:v>
                </c:pt>
                <c:pt idx="24">
                  <c:v>1.3157894736842106</c:v>
                </c:pt>
                <c:pt idx="25">
                  <c:v>1.3333333333333333</c:v>
                </c:pt>
                <c:pt idx="26">
                  <c:v>1.3513513513513513</c:v>
                </c:pt>
                <c:pt idx="27">
                  <c:v>1.3698630136986301</c:v>
                </c:pt>
                <c:pt idx="28">
                  <c:v>1.3888888888888888</c:v>
                </c:pt>
                <c:pt idx="29">
                  <c:v>1.4084507042253522</c:v>
                </c:pt>
                <c:pt idx="30">
                  <c:v>1.4285714285714286</c:v>
                </c:pt>
                <c:pt idx="31">
                  <c:v>1.4492753623188408</c:v>
                </c:pt>
                <c:pt idx="32">
                  <c:v>1.4705882352941178</c:v>
                </c:pt>
                <c:pt idx="33">
                  <c:v>1.4925373134328359</c:v>
                </c:pt>
                <c:pt idx="34">
                  <c:v>1.5151515151515154</c:v>
                </c:pt>
                <c:pt idx="35">
                  <c:v>1.5384615384615383</c:v>
                </c:pt>
                <c:pt idx="36">
                  <c:v>1.5625</c:v>
                </c:pt>
                <c:pt idx="37">
                  <c:v>1.5873015873015872</c:v>
                </c:pt>
                <c:pt idx="38">
                  <c:v>1.6129032258064517</c:v>
                </c:pt>
                <c:pt idx="39">
                  <c:v>1.639344262295082</c:v>
                </c:pt>
                <c:pt idx="40">
                  <c:v>1.6666666666666667</c:v>
                </c:pt>
                <c:pt idx="41">
                  <c:v>1.6949152542372878</c:v>
                </c:pt>
                <c:pt idx="42">
                  <c:v>1.7241379310344827</c:v>
                </c:pt>
                <c:pt idx="43">
                  <c:v>1.7543859649122806</c:v>
                </c:pt>
                <c:pt idx="44">
                  <c:v>1.7857142857142856</c:v>
                </c:pt>
                <c:pt idx="45">
                  <c:v>1.8181818181818181</c:v>
                </c:pt>
                <c:pt idx="46">
                  <c:v>1.8518518518518516</c:v>
                </c:pt>
                <c:pt idx="47">
                  <c:v>1.8867924528301885</c:v>
                </c:pt>
                <c:pt idx="48">
                  <c:v>1.9230769230769229</c:v>
                </c:pt>
                <c:pt idx="49">
                  <c:v>1.9607843137254901</c:v>
                </c:pt>
                <c:pt idx="50">
                  <c:v>2</c:v>
                </c:pt>
                <c:pt idx="51">
                  <c:v>2.0408163265306123</c:v>
                </c:pt>
                <c:pt idx="52">
                  <c:v>2.0833333333333335</c:v>
                </c:pt>
                <c:pt idx="53">
                  <c:v>2.1276595744680851</c:v>
                </c:pt>
                <c:pt idx="54">
                  <c:v>2.1739130434782612</c:v>
                </c:pt>
                <c:pt idx="55">
                  <c:v>2.2222222222222223</c:v>
                </c:pt>
                <c:pt idx="56">
                  <c:v>2.2727272727272729</c:v>
                </c:pt>
                <c:pt idx="57">
                  <c:v>2.3255813953488369</c:v>
                </c:pt>
                <c:pt idx="58">
                  <c:v>2.3809523809523809</c:v>
                </c:pt>
                <c:pt idx="59">
                  <c:v>2.4390243902439024</c:v>
                </c:pt>
                <c:pt idx="60">
                  <c:v>2.5</c:v>
                </c:pt>
                <c:pt idx="61">
                  <c:v>2.5641025641025639</c:v>
                </c:pt>
                <c:pt idx="62">
                  <c:v>2.6315789473684212</c:v>
                </c:pt>
                <c:pt idx="63">
                  <c:v>2.7027027027027026</c:v>
                </c:pt>
                <c:pt idx="64">
                  <c:v>2.7777777777777777</c:v>
                </c:pt>
                <c:pt idx="65">
                  <c:v>2.8571428571428572</c:v>
                </c:pt>
                <c:pt idx="66">
                  <c:v>2.9411764705882355</c:v>
                </c:pt>
                <c:pt idx="67">
                  <c:v>3.0303030303030307</c:v>
                </c:pt>
                <c:pt idx="68">
                  <c:v>3.1250000000000004</c:v>
                </c:pt>
                <c:pt idx="69">
                  <c:v>3.2258064516129026</c:v>
                </c:pt>
                <c:pt idx="70">
                  <c:v>3.333333333333333</c:v>
                </c:pt>
                <c:pt idx="71">
                  <c:v>3.4482758620689653</c:v>
                </c:pt>
                <c:pt idx="72">
                  <c:v>3.5714285714285712</c:v>
                </c:pt>
                <c:pt idx="73">
                  <c:v>3.7037037037037033</c:v>
                </c:pt>
                <c:pt idx="74">
                  <c:v>3.8461538461538458</c:v>
                </c:pt>
                <c:pt idx="75">
                  <c:v>4</c:v>
                </c:pt>
                <c:pt idx="76">
                  <c:v>4.166666666666667</c:v>
                </c:pt>
                <c:pt idx="77">
                  <c:v>4.3478260869565224</c:v>
                </c:pt>
                <c:pt idx="78">
                  <c:v>4.5454545454545459</c:v>
                </c:pt>
                <c:pt idx="79">
                  <c:v>4.7619047619047628</c:v>
                </c:pt>
                <c:pt idx="80">
                  <c:v>5.0000000000000009</c:v>
                </c:pt>
                <c:pt idx="81">
                  <c:v>5.2631578947368434</c:v>
                </c:pt>
                <c:pt idx="82">
                  <c:v>5.5555555555555545</c:v>
                </c:pt>
                <c:pt idx="83">
                  <c:v>5.8823529411764692</c:v>
                </c:pt>
                <c:pt idx="84">
                  <c:v>6.2499999999999991</c:v>
                </c:pt>
                <c:pt idx="85">
                  <c:v>6.6666666666666661</c:v>
                </c:pt>
                <c:pt idx="86">
                  <c:v>7.1428571428571423</c:v>
                </c:pt>
                <c:pt idx="87">
                  <c:v>7.6923076923076916</c:v>
                </c:pt>
                <c:pt idx="88">
                  <c:v>8.3333333333333339</c:v>
                </c:pt>
                <c:pt idx="89">
                  <c:v>9.0909090909090917</c:v>
                </c:pt>
                <c:pt idx="90">
                  <c:v>10.000000000000002</c:v>
                </c:pt>
                <c:pt idx="91">
                  <c:v>11.111111111111114</c:v>
                </c:pt>
                <c:pt idx="92">
                  <c:v>12.500000000000007</c:v>
                </c:pt>
                <c:pt idx="93">
                  <c:v>14.285714285714295</c:v>
                </c:pt>
                <c:pt idx="94">
                  <c:v>16.66666666666665</c:v>
                </c:pt>
                <c:pt idx="95">
                  <c:v>19.999999999999982</c:v>
                </c:pt>
                <c:pt idx="96">
                  <c:v>24.999999999999979</c:v>
                </c:pt>
                <c:pt idx="97">
                  <c:v>33.3333333333333</c:v>
                </c:pt>
                <c:pt idx="98">
                  <c:v>49.999999999999957</c:v>
                </c:pt>
                <c:pt idx="99">
                  <c:v>99.999999999999915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1A-4D9C-B0A9-58AA0551FF87}"/>
            </c:ext>
          </c:extLst>
        </c:ser>
        <c:ser>
          <c:idx val="1"/>
          <c:order val="1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Epsilon!$C$3:$C$203</c:f>
              <c:numCache>
                <c:formatCode>General</c:formatCode>
                <c:ptCount val="2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</c:numCache>
            </c:numRef>
          </c:xVal>
          <c:yVal>
            <c:numRef>
              <c:f>Epsilon!$E$3:$E$203</c:f>
              <c:numCache>
                <c:formatCode>General</c:formatCode>
                <c:ptCount val="201"/>
                <c:pt idx="101">
                  <c:v>-99.999999999999915</c:v>
                </c:pt>
                <c:pt idx="102">
                  <c:v>-49.999999999999957</c:v>
                </c:pt>
                <c:pt idx="103">
                  <c:v>-33.3333333333333</c:v>
                </c:pt>
                <c:pt idx="104">
                  <c:v>-24.999999999999979</c:v>
                </c:pt>
                <c:pt idx="105">
                  <c:v>-19.999999999999982</c:v>
                </c:pt>
                <c:pt idx="106">
                  <c:v>-16.66666666666665</c:v>
                </c:pt>
                <c:pt idx="107">
                  <c:v>-14.285714285714272</c:v>
                </c:pt>
                <c:pt idx="108">
                  <c:v>-12.499999999999989</c:v>
                </c:pt>
                <c:pt idx="109">
                  <c:v>-11.111111111111102</c:v>
                </c:pt>
                <c:pt idx="110">
                  <c:v>-9.9999999999999911</c:v>
                </c:pt>
                <c:pt idx="111">
                  <c:v>-9.0909090909090828</c:v>
                </c:pt>
                <c:pt idx="112">
                  <c:v>-8.333333333333325</c:v>
                </c:pt>
                <c:pt idx="113">
                  <c:v>-7.6923076923076987</c:v>
                </c:pt>
                <c:pt idx="114">
                  <c:v>-7.1428571428571477</c:v>
                </c:pt>
                <c:pt idx="115">
                  <c:v>-6.6666666666666705</c:v>
                </c:pt>
                <c:pt idx="116">
                  <c:v>-6.2500000000000036</c:v>
                </c:pt>
                <c:pt idx="117">
                  <c:v>-5.8823529411764728</c:v>
                </c:pt>
                <c:pt idx="118">
                  <c:v>-5.5555555555555571</c:v>
                </c:pt>
                <c:pt idx="119">
                  <c:v>-5.2631578947368434</c:v>
                </c:pt>
                <c:pt idx="120">
                  <c:v>-5.0000000000000009</c:v>
                </c:pt>
                <c:pt idx="121">
                  <c:v>-4.7619047619047628</c:v>
                </c:pt>
                <c:pt idx="122">
                  <c:v>-4.5454545454545459</c:v>
                </c:pt>
                <c:pt idx="123">
                  <c:v>-4.3478260869565224</c:v>
                </c:pt>
                <c:pt idx="124">
                  <c:v>-4.166666666666667</c:v>
                </c:pt>
                <c:pt idx="125">
                  <c:v>-4</c:v>
                </c:pt>
                <c:pt idx="126">
                  <c:v>-3.8461538461538458</c:v>
                </c:pt>
                <c:pt idx="127">
                  <c:v>-3.7037037037037033</c:v>
                </c:pt>
                <c:pt idx="128">
                  <c:v>-3.5714285714285712</c:v>
                </c:pt>
                <c:pt idx="129">
                  <c:v>-3.4482758620689653</c:v>
                </c:pt>
                <c:pt idx="130">
                  <c:v>-3.333333333333333</c:v>
                </c:pt>
                <c:pt idx="131">
                  <c:v>-3.2258064516129026</c:v>
                </c:pt>
                <c:pt idx="132">
                  <c:v>-3.1249999999999996</c:v>
                </c:pt>
                <c:pt idx="133">
                  <c:v>-3.0303030303030298</c:v>
                </c:pt>
                <c:pt idx="134">
                  <c:v>-2.9411764705882346</c:v>
                </c:pt>
                <c:pt idx="135">
                  <c:v>-2.8571428571428563</c:v>
                </c:pt>
                <c:pt idx="136">
                  <c:v>-2.7777777777777772</c:v>
                </c:pt>
                <c:pt idx="137">
                  <c:v>-2.7027027027027017</c:v>
                </c:pt>
                <c:pt idx="138">
                  <c:v>-2.6315789473684217</c:v>
                </c:pt>
                <c:pt idx="139">
                  <c:v>-2.5641025641025648</c:v>
                </c:pt>
                <c:pt idx="140">
                  <c:v>-2.5000000000000004</c:v>
                </c:pt>
                <c:pt idx="141">
                  <c:v>-2.4390243902439028</c:v>
                </c:pt>
                <c:pt idx="142">
                  <c:v>-2.3809523809523814</c:v>
                </c:pt>
                <c:pt idx="143">
                  <c:v>-2.3255813953488373</c:v>
                </c:pt>
                <c:pt idx="144">
                  <c:v>-2.2727272727272729</c:v>
                </c:pt>
                <c:pt idx="145">
                  <c:v>-2.2222222222222223</c:v>
                </c:pt>
                <c:pt idx="146">
                  <c:v>-2.1739130434782612</c:v>
                </c:pt>
                <c:pt idx="147">
                  <c:v>-2.1276595744680851</c:v>
                </c:pt>
                <c:pt idx="148">
                  <c:v>-2.0833333333333335</c:v>
                </c:pt>
                <c:pt idx="149">
                  <c:v>-2.0408163265306123</c:v>
                </c:pt>
                <c:pt idx="150">
                  <c:v>-2</c:v>
                </c:pt>
                <c:pt idx="151">
                  <c:v>-1.9607843137254901</c:v>
                </c:pt>
                <c:pt idx="152">
                  <c:v>-1.9230769230769229</c:v>
                </c:pt>
                <c:pt idx="153">
                  <c:v>-1.8867924528301885</c:v>
                </c:pt>
                <c:pt idx="154">
                  <c:v>-1.8518518518518516</c:v>
                </c:pt>
                <c:pt idx="155">
                  <c:v>-1.8181818181818181</c:v>
                </c:pt>
                <c:pt idx="156">
                  <c:v>-1.7857142857142856</c:v>
                </c:pt>
                <c:pt idx="157">
                  <c:v>-1.7543859649122806</c:v>
                </c:pt>
                <c:pt idx="158">
                  <c:v>-1.7241379310344827</c:v>
                </c:pt>
                <c:pt idx="159">
                  <c:v>-1.6949152542372878</c:v>
                </c:pt>
                <c:pt idx="160">
                  <c:v>-1.6666666666666665</c:v>
                </c:pt>
                <c:pt idx="161">
                  <c:v>-1.6393442622950818</c:v>
                </c:pt>
                <c:pt idx="162">
                  <c:v>-1.6129032258064513</c:v>
                </c:pt>
                <c:pt idx="163">
                  <c:v>-1.5873015873015877</c:v>
                </c:pt>
                <c:pt idx="164">
                  <c:v>-1.5625000000000002</c:v>
                </c:pt>
                <c:pt idx="165">
                  <c:v>-1.5384615384615388</c:v>
                </c:pt>
                <c:pt idx="166">
                  <c:v>-1.5151515151515154</c:v>
                </c:pt>
                <c:pt idx="167">
                  <c:v>-1.4925373134328359</c:v>
                </c:pt>
                <c:pt idx="168">
                  <c:v>-1.4705882352941178</c:v>
                </c:pt>
                <c:pt idx="169">
                  <c:v>-1.4492753623188408</c:v>
                </c:pt>
                <c:pt idx="170">
                  <c:v>-1.4285714285714286</c:v>
                </c:pt>
                <c:pt idx="171">
                  <c:v>-1.4084507042253522</c:v>
                </c:pt>
                <c:pt idx="172">
                  <c:v>-1.3888888888888888</c:v>
                </c:pt>
                <c:pt idx="173">
                  <c:v>-1.3698630136986301</c:v>
                </c:pt>
                <c:pt idx="174">
                  <c:v>-1.3513513513513513</c:v>
                </c:pt>
                <c:pt idx="175">
                  <c:v>-1.3333333333333333</c:v>
                </c:pt>
                <c:pt idx="176">
                  <c:v>-1.3157894736842106</c:v>
                </c:pt>
                <c:pt idx="177">
                  <c:v>-1.2987012987012987</c:v>
                </c:pt>
                <c:pt idx="178">
                  <c:v>-1.2820512820512819</c:v>
                </c:pt>
                <c:pt idx="179">
                  <c:v>-1.2658227848101264</c:v>
                </c:pt>
                <c:pt idx="180">
                  <c:v>-1.25</c:v>
                </c:pt>
                <c:pt idx="181">
                  <c:v>-1.2345679012345678</c:v>
                </c:pt>
                <c:pt idx="182">
                  <c:v>-1.2195121951219512</c:v>
                </c:pt>
                <c:pt idx="183">
                  <c:v>-1.2048192771084336</c:v>
                </c:pt>
                <c:pt idx="184">
                  <c:v>-1.1904761904761905</c:v>
                </c:pt>
                <c:pt idx="185">
                  <c:v>-1.1764705882352939</c:v>
                </c:pt>
                <c:pt idx="186">
                  <c:v>-1.1627906976744184</c:v>
                </c:pt>
                <c:pt idx="187">
                  <c:v>-1.1494252873563218</c:v>
                </c:pt>
                <c:pt idx="188">
                  <c:v>-1.1363636363636365</c:v>
                </c:pt>
                <c:pt idx="189">
                  <c:v>-1.1235955056179776</c:v>
                </c:pt>
                <c:pt idx="190">
                  <c:v>-1.1111111111111112</c:v>
                </c:pt>
                <c:pt idx="191">
                  <c:v>-1.098901098901099</c:v>
                </c:pt>
                <c:pt idx="192">
                  <c:v>-1.0869565217391306</c:v>
                </c:pt>
                <c:pt idx="193">
                  <c:v>-1.0752688172043012</c:v>
                </c:pt>
                <c:pt idx="194">
                  <c:v>-1.0638297872340425</c:v>
                </c:pt>
                <c:pt idx="195">
                  <c:v>-1.0526315789473684</c:v>
                </c:pt>
                <c:pt idx="196">
                  <c:v>-1.0416666666666667</c:v>
                </c:pt>
                <c:pt idx="197">
                  <c:v>-1.0309278350515465</c:v>
                </c:pt>
                <c:pt idx="198">
                  <c:v>-1.0204081632653061</c:v>
                </c:pt>
                <c:pt idx="199">
                  <c:v>-1.0101010101010102</c:v>
                </c:pt>
                <c:pt idx="20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1A-4D9C-B0A9-58AA0551F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179727"/>
        <c:axId val="845181391"/>
      </c:scatterChart>
      <c:valAx>
        <c:axId val="845179727"/>
        <c:scaling>
          <c:orientation val="minMax"/>
          <c:max val="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181391"/>
        <c:crosses val="autoZero"/>
        <c:crossBetween val="midCat"/>
      </c:valAx>
      <c:valAx>
        <c:axId val="845181391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1/(1-</a:t>
                </a:r>
                <a:r>
                  <a:rPr lang="en-US">
                    <a:latin typeface="Symbol" panose="05050102010706020507" pitchFamily="18" charset="2"/>
                  </a:rPr>
                  <a:t>e</a:t>
                </a:r>
                <a:r>
                  <a:rPr lang="en-US"/>
                  <a:t>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179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horiz="1" max="100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14.emf"/><Relationship Id="rId7" Type="http://schemas.openxmlformats.org/officeDocument/2006/relationships/image" Target="../media/image17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5" Type="http://schemas.openxmlformats.org/officeDocument/2006/relationships/image" Target="../media/image2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0</xdr:row>
      <xdr:rowOff>114300</xdr:rowOff>
    </xdr:from>
    <xdr:to>
      <xdr:col>17</xdr:col>
      <xdr:colOff>0</xdr:colOff>
      <xdr:row>14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0</xdr:row>
          <xdr:rowOff>28575</xdr:rowOff>
        </xdr:from>
        <xdr:to>
          <xdr:col>21</xdr:col>
          <xdr:colOff>123825</xdr:colOff>
          <xdr:row>1</xdr:row>
          <xdr:rowOff>95250</xdr:rowOff>
        </xdr:to>
        <xdr:sp macro="" textlink="">
          <xdr:nvSpPr>
            <xdr:cNvPr id="2049" name="btnNewValue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0</xdr:row>
          <xdr:rowOff>180975</xdr:rowOff>
        </xdr:from>
        <xdr:to>
          <xdr:col>7</xdr:col>
          <xdr:colOff>581025</xdr:colOff>
          <xdr:row>2</xdr:row>
          <xdr:rowOff>57150</xdr:rowOff>
        </xdr:to>
        <xdr:sp macro="" textlink="">
          <xdr:nvSpPr>
            <xdr:cNvPr id="2050" name="btnSolv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515250</xdr:colOff>
      <xdr:row>7</xdr:row>
      <xdr:rowOff>133350</xdr:rowOff>
    </xdr:from>
    <xdr:to>
      <xdr:col>11</xdr:col>
      <xdr:colOff>179975</xdr:colOff>
      <xdr:row>23</xdr:row>
      <xdr:rowOff>56545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900" y="1504950"/>
          <a:ext cx="4913000" cy="29711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</xdr:row>
          <xdr:rowOff>38100</xdr:rowOff>
        </xdr:from>
        <xdr:to>
          <xdr:col>8</xdr:col>
          <xdr:colOff>419100</xdr:colOff>
          <xdr:row>4</xdr:row>
          <xdr:rowOff>85725</xdr:rowOff>
        </xdr:to>
        <xdr:sp macro="" textlink="">
          <xdr:nvSpPr>
            <xdr:cNvPr id="2052" name="chkShowLine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57150</xdr:rowOff>
        </xdr:from>
        <xdr:to>
          <xdr:col>8</xdr:col>
          <xdr:colOff>409575</xdr:colOff>
          <xdr:row>5</xdr:row>
          <xdr:rowOff>104775</xdr:rowOff>
        </xdr:to>
        <xdr:sp macro="" textlink="">
          <xdr:nvSpPr>
            <xdr:cNvPr id="2053" name="chkShowPoints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28575</xdr:rowOff>
        </xdr:from>
        <xdr:to>
          <xdr:col>4</xdr:col>
          <xdr:colOff>657225</xdr:colOff>
          <xdr:row>1</xdr:row>
          <xdr:rowOff>19050</xdr:rowOff>
        </xdr:to>
        <xdr:sp macro="" textlink="">
          <xdr:nvSpPr>
            <xdr:cNvPr id="2054" name="btnInitialize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438150</xdr:colOff>
          <xdr:row>0</xdr:row>
          <xdr:rowOff>28575</xdr:rowOff>
        </xdr:from>
        <xdr:to>
          <xdr:col>20</xdr:col>
          <xdr:colOff>276225</xdr:colOff>
          <xdr:row>1</xdr:row>
          <xdr:rowOff>95250</xdr:rowOff>
        </xdr:to>
        <xdr:sp macro="" textlink="">
          <xdr:nvSpPr>
            <xdr:cNvPr id="2065" name="btnResetX2s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5</xdr:row>
          <xdr:rowOff>76200</xdr:rowOff>
        </xdr:from>
        <xdr:to>
          <xdr:col>8</xdr:col>
          <xdr:colOff>647700</xdr:colOff>
          <xdr:row>6</xdr:row>
          <xdr:rowOff>123825</xdr:rowOff>
        </xdr:to>
        <xdr:sp macro="" textlink="">
          <xdr:nvSpPr>
            <xdr:cNvPr id="2066" name="chkShowMargins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</xdr:row>
          <xdr:rowOff>161925</xdr:rowOff>
        </xdr:from>
        <xdr:to>
          <xdr:col>10</xdr:col>
          <xdr:colOff>257175</xdr:colOff>
          <xdr:row>3</xdr:row>
          <xdr:rowOff>133350</xdr:rowOff>
        </xdr:to>
        <xdr:sp macro="" textlink="">
          <xdr:nvSpPr>
            <xdr:cNvPr id="2068" name="Scroll Bar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9525</xdr:rowOff>
        </xdr:from>
        <xdr:to>
          <xdr:col>4</xdr:col>
          <xdr:colOff>657225</xdr:colOff>
          <xdr:row>4</xdr:row>
          <xdr:rowOff>9525</xdr:rowOff>
        </xdr:to>
        <xdr:sp macro="" textlink="">
          <xdr:nvSpPr>
            <xdr:cNvPr id="2070" name="scrBeta0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</xdr:row>
          <xdr:rowOff>19050</xdr:rowOff>
        </xdr:from>
        <xdr:to>
          <xdr:col>6</xdr:col>
          <xdr:colOff>19050</xdr:colOff>
          <xdr:row>4</xdr:row>
          <xdr:rowOff>19050</xdr:rowOff>
        </xdr:to>
        <xdr:sp macro="" textlink="">
          <xdr:nvSpPr>
            <xdr:cNvPr id="2071" name="scrBeta1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0</xdr:row>
      <xdr:rowOff>114300</xdr:rowOff>
    </xdr:from>
    <xdr:to>
      <xdr:col>17</xdr:col>
      <xdr:colOff>0</xdr:colOff>
      <xdr:row>14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0</xdr:row>
          <xdr:rowOff>28575</xdr:rowOff>
        </xdr:from>
        <xdr:to>
          <xdr:col>21</xdr:col>
          <xdr:colOff>123825</xdr:colOff>
          <xdr:row>1</xdr:row>
          <xdr:rowOff>95250</xdr:rowOff>
        </xdr:to>
        <xdr:sp macro="" textlink="">
          <xdr:nvSpPr>
            <xdr:cNvPr id="5121" name="btnNewValu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0</xdr:row>
          <xdr:rowOff>180975</xdr:rowOff>
        </xdr:from>
        <xdr:to>
          <xdr:col>7</xdr:col>
          <xdr:colOff>581025</xdr:colOff>
          <xdr:row>2</xdr:row>
          <xdr:rowOff>57150</xdr:rowOff>
        </xdr:to>
        <xdr:sp macro="" textlink="">
          <xdr:nvSpPr>
            <xdr:cNvPr id="5122" name="btnSolve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515250</xdr:colOff>
      <xdr:row>7</xdr:row>
      <xdr:rowOff>133350</xdr:rowOff>
    </xdr:from>
    <xdr:to>
      <xdr:col>11</xdr:col>
      <xdr:colOff>179975</xdr:colOff>
      <xdr:row>23</xdr:row>
      <xdr:rowOff>56545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900" y="1504950"/>
          <a:ext cx="4913000" cy="29711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</xdr:row>
          <xdr:rowOff>38100</xdr:rowOff>
        </xdr:from>
        <xdr:to>
          <xdr:col>8</xdr:col>
          <xdr:colOff>419100</xdr:colOff>
          <xdr:row>4</xdr:row>
          <xdr:rowOff>85725</xdr:rowOff>
        </xdr:to>
        <xdr:sp macro="" textlink="">
          <xdr:nvSpPr>
            <xdr:cNvPr id="5123" name="chkShowLine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57150</xdr:rowOff>
        </xdr:from>
        <xdr:to>
          <xdr:col>8</xdr:col>
          <xdr:colOff>409575</xdr:colOff>
          <xdr:row>5</xdr:row>
          <xdr:rowOff>104775</xdr:rowOff>
        </xdr:to>
        <xdr:sp macro="" textlink="">
          <xdr:nvSpPr>
            <xdr:cNvPr id="5124" name="chkShowPoints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28575</xdr:rowOff>
        </xdr:from>
        <xdr:to>
          <xdr:col>4</xdr:col>
          <xdr:colOff>657225</xdr:colOff>
          <xdr:row>1</xdr:row>
          <xdr:rowOff>19050</xdr:rowOff>
        </xdr:to>
        <xdr:sp macro="" textlink="">
          <xdr:nvSpPr>
            <xdr:cNvPr id="5125" name="btnInitialize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438150</xdr:colOff>
          <xdr:row>0</xdr:row>
          <xdr:rowOff>28575</xdr:rowOff>
        </xdr:from>
        <xdr:to>
          <xdr:col>20</xdr:col>
          <xdr:colOff>276225</xdr:colOff>
          <xdr:row>1</xdr:row>
          <xdr:rowOff>95250</xdr:rowOff>
        </xdr:to>
        <xdr:sp macro="" textlink="">
          <xdr:nvSpPr>
            <xdr:cNvPr id="5126" name="btnResetX2s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5</xdr:row>
          <xdr:rowOff>76200</xdr:rowOff>
        </xdr:from>
        <xdr:to>
          <xdr:col>8</xdr:col>
          <xdr:colOff>647700</xdr:colOff>
          <xdr:row>6</xdr:row>
          <xdr:rowOff>123825</xdr:rowOff>
        </xdr:to>
        <xdr:sp macro="" textlink="">
          <xdr:nvSpPr>
            <xdr:cNvPr id="5127" name="chkShowMargi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542925</xdr:colOff>
          <xdr:row>30</xdr:row>
          <xdr:rowOff>9525</xdr:rowOff>
        </xdr:from>
        <xdr:to>
          <xdr:col>14</xdr:col>
          <xdr:colOff>285750</xdr:colOff>
          <xdr:row>32</xdr:row>
          <xdr:rowOff>171450</xdr:rowOff>
        </xdr:to>
        <xdr:sp macro="" textlink="">
          <xdr:nvSpPr>
            <xdr:cNvPr id="5128" name="btnResetSVConditions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152399</xdr:colOff>
      <xdr:row>1</xdr:row>
      <xdr:rowOff>4762</xdr:rowOff>
    </xdr:from>
    <xdr:to>
      <xdr:col>14</xdr:col>
      <xdr:colOff>276224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control" Target="../activeX/activeX15.xml"/><Relationship Id="rId18" Type="http://schemas.openxmlformats.org/officeDocument/2006/relationships/image" Target="../media/image17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5.emf"/><Relationship Id="rId17" Type="http://schemas.openxmlformats.org/officeDocument/2006/relationships/control" Target="../activeX/activeX17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6.emf"/><Relationship Id="rId1" Type="http://schemas.openxmlformats.org/officeDocument/2006/relationships/drawing" Target="../drawings/drawing2.xml"/><Relationship Id="rId6" Type="http://schemas.openxmlformats.org/officeDocument/2006/relationships/image" Target="../media/image12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5" Type="http://schemas.openxmlformats.org/officeDocument/2006/relationships/control" Target="../activeX/activeX16.xml"/><Relationship Id="rId10" Type="http://schemas.openxmlformats.org/officeDocument/2006/relationships/image" Target="../media/image14.emf"/><Relationship Id="rId4" Type="http://schemas.openxmlformats.org/officeDocument/2006/relationships/image" Target="../media/image11.emf"/><Relationship Id="rId9" Type="http://schemas.openxmlformats.org/officeDocument/2006/relationships/control" Target="../activeX/activeX13.xml"/><Relationship Id="rId1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MC"/>
  <dimension ref="B1:Z92"/>
  <sheetViews>
    <sheetView showGridLines="0" tabSelected="1" workbookViewId="0">
      <selection activeCell="N8" sqref="N8"/>
    </sheetView>
  </sheetViews>
  <sheetFormatPr defaultRowHeight="15" x14ac:dyDescent="0.25"/>
  <cols>
    <col min="1" max="1" width="2.5703125" customWidth="1"/>
    <col min="5" max="7" width="10" customWidth="1"/>
    <col min="9" max="9" width="12.140625" customWidth="1"/>
    <col min="18" max="19" width="9.140625" style="1"/>
    <col min="20" max="20" width="0" style="1" hidden="1" customWidth="1"/>
    <col min="21" max="24" width="9.140625" style="1"/>
    <col min="25" max="25" width="3.140625" customWidth="1"/>
    <col min="26" max="26" width="12" bestFit="1" customWidth="1"/>
  </cols>
  <sheetData>
    <row r="1" spans="2:26" x14ac:dyDescent="0.25">
      <c r="B1" s="30" t="s">
        <v>21</v>
      </c>
      <c r="C1" s="30"/>
    </row>
    <row r="2" spans="2:26" ht="18" x14ac:dyDescent="0.35">
      <c r="B2" s="3" t="s">
        <v>5</v>
      </c>
      <c r="C2" s="3" t="s">
        <v>6</v>
      </c>
      <c r="E2" s="4" t="s">
        <v>2</v>
      </c>
      <c r="F2" s="4" t="s">
        <v>3</v>
      </c>
      <c r="G2" s="4" t="s">
        <v>4</v>
      </c>
      <c r="I2" s="4" t="s">
        <v>13</v>
      </c>
      <c r="R2" s="6" t="s">
        <v>7</v>
      </c>
      <c r="S2" s="3" t="s">
        <v>5</v>
      </c>
      <c r="T2" s="3" t="s">
        <v>11</v>
      </c>
      <c r="U2" s="3" t="s">
        <v>6</v>
      </c>
      <c r="V2" s="3" t="s">
        <v>14</v>
      </c>
      <c r="W2" s="3" t="s">
        <v>12</v>
      </c>
      <c r="X2" s="3" t="s">
        <v>10</v>
      </c>
      <c r="Z2" s="7" t="s">
        <v>8</v>
      </c>
    </row>
    <row r="3" spans="2:26" x14ac:dyDescent="0.25">
      <c r="B3" s="1">
        <v>-10</v>
      </c>
      <c r="C3" s="1">
        <f>-beta0/beta2-beta1/beta2*B3</f>
        <v>6.7180009184642797</v>
      </c>
      <c r="E3" s="2">
        <v>0.57610161777811852</v>
      </c>
      <c r="F3" s="2">
        <v>0.59670633358247338</v>
      </c>
      <c r="G3" s="2">
        <v>0.80246516537824142</v>
      </c>
      <c r="I3" s="8">
        <f>beta1^2+beta2^2</f>
        <v>1.0000087901829664</v>
      </c>
      <c r="R3" s="9">
        <v>1</v>
      </c>
      <c r="S3" s="9">
        <v>-10</v>
      </c>
      <c r="T3" s="9">
        <f t="shared" ref="T3:T44" si="0">-beta0/beta2-beta1/beta2*S3</f>
        <v>6.7180009184642797</v>
      </c>
      <c r="U3" s="9">
        <v>35.333333333333336</v>
      </c>
      <c r="V3" s="9">
        <f t="shared" ref="V3:V44" si="1">beta0+beta1*S3+beta2*U3</f>
        <v>22.962807458651252</v>
      </c>
      <c r="W3" s="9">
        <f t="shared" ref="W3:W44" si="2">R3*(beta0+beta1*S3+beta2*U3)</f>
        <v>22.962807458651252</v>
      </c>
      <c r="X3" s="9">
        <f t="shared" ref="X3:X44" si="3">ABS(slope*S3-U3+intercept)/SQRT(slope^2+1)</f>
        <v>22.962706535677107</v>
      </c>
      <c r="Z3" s="1">
        <f>MIN(W3:W44)</f>
        <v>4.6913163961917874</v>
      </c>
    </row>
    <row r="4" spans="2:26" x14ac:dyDescent="0.25">
      <c r="B4" s="1">
        <v>-9</v>
      </c>
      <c r="C4" s="1">
        <f t="shared" ref="C4:C23" si="4">-beta0/beta2-beta1/beta2*B4</f>
        <v>5.974409346733915</v>
      </c>
      <c r="E4">
        <v>10</v>
      </c>
      <c r="F4">
        <v>11</v>
      </c>
      <c r="R4" s="9">
        <v>1</v>
      </c>
      <c r="S4" s="9">
        <v>-9</v>
      </c>
      <c r="T4" s="9">
        <f t="shared" si="0"/>
        <v>5.974409346733915</v>
      </c>
      <c r="U4" s="9">
        <v>31.666666666666668</v>
      </c>
      <c r="V4" s="9">
        <f t="shared" si="1"/>
        <v>20.617141519180173</v>
      </c>
      <c r="W4" s="9">
        <f t="shared" si="2"/>
        <v>20.617141519180173</v>
      </c>
      <c r="X4" s="9">
        <f t="shared" si="3"/>
        <v>20.617050905554454</v>
      </c>
    </row>
    <row r="5" spans="2:26" x14ac:dyDescent="0.25">
      <c r="B5" s="1">
        <v>-8</v>
      </c>
      <c r="C5" s="1">
        <f t="shared" si="4"/>
        <v>5.2308177750035503</v>
      </c>
      <c r="E5">
        <f>-beta1/beta2</f>
        <v>-0.7435915717303645</v>
      </c>
      <c r="F5" t="s">
        <v>0</v>
      </c>
      <c r="R5" s="9">
        <v>1</v>
      </c>
      <c r="S5" s="9">
        <v>-8</v>
      </c>
      <c r="T5" s="9">
        <f t="shared" si="0"/>
        <v>5.2308177750035503</v>
      </c>
      <c r="U5" s="9">
        <v>26</v>
      </c>
      <c r="V5" s="9">
        <f t="shared" si="1"/>
        <v>16.666545248952609</v>
      </c>
      <c r="W5" s="9">
        <f t="shared" si="2"/>
        <v>16.666545248952609</v>
      </c>
      <c r="X5" s="9">
        <f t="shared" si="3"/>
        <v>16.66647199844444</v>
      </c>
    </row>
    <row r="6" spans="2:26" x14ac:dyDescent="0.25">
      <c r="B6" s="1">
        <v>-7</v>
      </c>
      <c r="C6" s="1">
        <f t="shared" si="4"/>
        <v>4.4872262032731856</v>
      </c>
      <c r="E6">
        <f>-beta0/beta2</f>
        <v>-0.71791479883936571</v>
      </c>
      <c r="F6" t="s">
        <v>1</v>
      </c>
      <c r="R6" s="9">
        <v>1</v>
      </c>
      <c r="S6" s="9">
        <v>-7</v>
      </c>
      <c r="T6" s="9">
        <f t="shared" si="0"/>
        <v>4.4872262032731856</v>
      </c>
      <c r="U6" s="9">
        <v>31.333333333333332</v>
      </c>
      <c r="V6" s="9">
        <f t="shared" si="1"/>
        <v>21.543065797885703</v>
      </c>
      <c r="W6" s="9">
        <f t="shared" si="2"/>
        <v>21.543065797885703</v>
      </c>
      <c r="X6" s="9">
        <f t="shared" si="3"/>
        <v>21.542971114764899</v>
      </c>
    </row>
    <row r="7" spans="2:26" x14ac:dyDescent="0.25">
      <c r="B7" s="1">
        <v>-6</v>
      </c>
      <c r="C7" s="1">
        <f t="shared" si="4"/>
        <v>3.7436346315428208</v>
      </c>
      <c r="N7" t="b">
        <v>1</v>
      </c>
      <c r="R7" s="9">
        <v>1</v>
      </c>
      <c r="S7" s="9">
        <v>-6</v>
      </c>
      <c r="T7" s="9">
        <f t="shared" si="0"/>
        <v>3.7436346315428208</v>
      </c>
      <c r="U7" s="9">
        <v>31.666666666666668</v>
      </c>
      <c r="V7" s="9">
        <f t="shared" si="1"/>
        <v>22.40726051992759</v>
      </c>
      <c r="W7" s="9">
        <f t="shared" si="2"/>
        <v>22.40726051992759</v>
      </c>
      <c r="X7" s="9">
        <f t="shared" si="3"/>
        <v>22.407162038616967</v>
      </c>
    </row>
    <row r="8" spans="2:26" x14ac:dyDescent="0.25">
      <c r="B8" s="1">
        <v>-5</v>
      </c>
      <c r="C8" s="1">
        <f t="shared" si="4"/>
        <v>3.000043059812457</v>
      </c>
      <c r="N8" t="b">
        <v>1</v>
      </c>
      <c r="R8" s="9">
        <v>1</v>
      </c>
      <c r="S8" s="9">
        <v>-5</v>
      </c>
      <c r="T8" s="9">
        <f t="shared" si="0"/>
        <v>3.000043059812457</v>
      </c>
      <c r="U8" s="9">
        <v>17</v>
      </c>
      <c r="V8" s="9">
        <f t="shared" si="1"/>
        <v>11.234477761295855</v>
      </c>
      <c r="W8" s="9">
        <f t="shared" si="2"/>
        <v>11.234477761295855</v>
      </c>
      <c r="X8" s="9">
        <f t="shared" si="3"/>
        <v>11.234428385063849</v>
      </c>
    </row>
    <row r="9" spans="2:26" x14ac:dyDescent="0.25">
      <c r="B9" s="1">
        <v>-4</v>
      </c>
      <c r="C9" s="1">
        <f t="shared" si="4"/>
        <v>2.2564514880820923</v>
      </c>
      <c r="N9" t="b">
        <v>0</v>
      </c>
      <c r="R9" s="9">
        <v>1</v>
      </c>
      <c r="S9" s="9">
        <v>-4</v>
      </c>
      <c r="T9" s="9">
        <f t="shared" si="0"/>
        <v>2.2564514880820923</v>
      </c>
      <c r="U9" s="9">
        <v>31.333333333333332</v>
      </c>
      <c r="V9" s="9">
        <f t="shared" si="1"/>
        <v>23.333184798633123</v>
      </c>
      <c r="W9" s="9">
        <f t="shared" si="2"/>
        <v>23.333184798633123</v>
      </c>
      <c r="X9" s="9">
        <f t="shared" si="3"/>
        <v>23.333082247827416</v>
      </c>
    </row>
    <row r="10" spans="2:26" x14ac:dyDescent="0.25">
      <c r="B10" s="1">
        <v>-3</v>
      </c>
      <c r="C10" s="1">
        <f t="shared" si="4"/>
        <v>1.5128599163517276</v>
      </c>
      <c r="R10" s="9">
        <v>1</v>
      </c>
      <c r="S10" s="9">
        <v>-3</v>
      </c>
      <c r="T10" s="9">
        <f t="shared" si="0"/>
        <v>1.5128599163517276</v>
      </c>
      <c r="U10" s="9">
        <v>10.666666666666666</v>
      </c>
      <c r="V10" s="9">
        <f t="shared" si="1"/>
        <v>7.3456110477319401</v>
      </c>
      <c r="W10" s="9">
        <f t="shared" si="2"/>
        <v>7.3456110477319401</v>
      </c>
      <c r="X10" s="9">
        <f t="shared" si="3"/>
        <v>7.3455787633122238</v>
      </c>
    </row>
    <row r="11" spans="2:26" x14ac:dyDescent="0.25">
      <c r="B11" s="1">
        <v>-2</v>
      </c>
      <c r="C11" s="1">
        <f t="shared" si="4"/>
        <v>0.76926834462136329</v>
      </c>
      <c r="R11" s="9">
        <v>1</v>
      </c>
      <c r="S11" s="9">
        <v>-2</v>
      </c>
      <c r="T11" s="9">
        <f t="shared" si="0"/>
        <v>0.76926834462136329</v>
      </c>
      <c r="U11" s="9">
        <v>27</v>
      </c>
      <c r="V11" s="9">
        <f t="shared" si="1"/>
        <v>21.049248415825691</v>
      </c>
      <c r="W11" s="9">
        <f t="shared" si="2"/>
        <v>21.049248415825691</v>
      </c>
      <c r="X11" s="9">
        <f t="shared" si="3"/>
        <v>21.049155903063152</v>
      </c>
    </row>
    <row r="12" spans="2:26" x14ac:dyDescent="0.25">
      <c r="B12" s="1">
        <v>-1</v>
      </c>
      <c r="C12" s="1">
        <f t="shared" si="4"/>
        <v>2.5676772890998789E-2</v>
      </c>
      <c r="R12" s="9">
        <v>1</v>
      </c>
      <c r="S12" s="9">
        <v>-1</v>
      </c>
      <c r="T12" s="9">
        <f t="shared" si="0"/>
        <v>2.5676772890998789E-2</v>
      </c>
      <c r="U12" s="9">
        <v>28.333333333333332</v>
      </c>
      <c r="V12" s="9">
        <f t="shared" si="1"/>
        <v>22.715908303245818</v>
      </c>
      <c r="W12" s="9">
        <f t="shared" si="2"/>
        <v>22.715908303245818</v>
      </c>
      <c r="X12" s="9">
        <f t="shared" si="3"/>
        <v>22.715808465408895</v>
      </c>
    </row>
    <row r="13" spans="2:26" x14ac:dyDescent="0.25">
      <c r="B13" s="1">
        <v>0</v>
      </c>
      <c r="C13" s="1">
        <f t="shared" si="4"/>
        <v>-0.71791479883936571</v>
      </c>
      <c r="R13" s="9">
        <v>1</v>
      </c>
      <c r="S13" s="9">
        <v>0</v>
      </c>
      <c r="T13" s="9">
        <f t="shared" si="0"/>
        <v>-0.71791479883936571</v>
      </c>
      <c r="U13" s="9">
        <v>28.666666666666668</v>
      </c>
      <c r="V13" s="9">
        <f t="shared" si="1"/>
        <v>23.580103025287706</v>
      </c>
      <c r="W13" s="9">
        <f t="shared" si="2"/>
        <v>23.580103025287706</v>
      </c>
      <c r="X13" s="9">
        <f t="shared" si="3"/>
        <v>23.579999389260959</v>
      </c>
    </row>
    <row r="14" spans="2:26" x14ac:dyDescent="0.25">
      <c r="B14" s="1">
        <v>1</v>
      </c>
      <c r="C14" s="1">
        <f t="shared" si="4"/>
        <v>-1.4615063705697302</v>
      </c>
      <c r="R14" s="9">
        <v>1</v>
      </c>
      <c r="S14" s="9">
        <v>1</v>
      </c>
      <c r="T14" s="9">
        <f t="shared" si="0"/>
        <v>-1.4615063705697302</v>
      </c>
      <c r="U14" s="9">
        <v>19</v>
      </c>
      <c r="V14" s="9">
        <f t="shared" si="1"/>
        <v>16.419646093547179</v>
      </c>
      <c r="W14" s="9">
        <f t="shared" si="2"/>
        <v>16.419646093547179</v>
      </c>
      <c r="X14" s="9">
        <f t="shared" si="3"/>
        <v>16.419573928176234</v>
      </c>
    </row>
    <row r="15" spans="2:26" x14ac:dyDescent="0.25">
      <c r="B15" s="1">
        <v>2</v>
      </c>
      <c r="C15" s="1">
        <f t="shared" si="4"/>
        <v>-2.2050979423000947</v>
      </c>
      <c r="R15" s="9">
        <v>1</v>
      </c>
      <c r="S15" s="9">
        <v>2</v>
      </c>
      <c r="T15" s="9">
        <f t="shared" si="0"/>
        <v>-2.2050979423000947</v>
      </c>
      <c r="U15" s="9">
        <v>23.333333333333332</v>
      </c>
      <c r="V15" s="9">
        <f t="shared" si="1"/>
        <v>20.493701477102029</v>
      </c>
      <c r="W15" s="9">
        <f t="shared" si="2"/>
        <v>20.493701477102029</v>
      </c>
      <c r="X15" s="9">
        <f t="shared" si="3"/>
        <v>20.493611406003016</v>
      </c>
    </row>
    <row r="16" spans="2:26" x14ac:dyDescent="0.25">
      <c r="B16" s="1">
        <v>3</v>
      </c>
      <c r="C16" s="1">
        <f t="shared" si="4"/>
        <v>-2.948689514030459</v>
      </c>
      <c r="R16" s="9">
        <v>1</v>
      </c>
      <c r="S16" s="9">
        <v>3</v>
      </c>
      <c r="T16" s="9">
        <f t="shared" si="0"/>
        <v>-2.948689514030459</v>
      </c>
      <c r="U16" s="9">
        <v>10.666666666666666</v>
      </c>
      <c r="V16" s="9">
        <f t="shared" si="1"/>
        <v>10.92584904922678</v>
      </c>
      <c r="W16" s="9">
        <f t="shared" si="2"/>
        <v>10.92584904922678</v>
      </c>
      <c r="X16" s="9">
        <f t="shared" si="3"/>
        <v>10.925801029437254</v>
      </c>
    </row>
    <row r="17" spans="2:24" x14ac:dyDescent="0.25">
      <c r="B17" s="1">
        <v>4</v>
      </c>
      <c r="C17" s="1">
        <f t="shared" si="4"/>
        <v>-3.6922810857608237</v>
      </c>
      <c r="R17" s="9">
        <v>1</v>
      </c>
      <c r="S17" s="9">
        <v>4</v>
      </c>
      <c r="T17" s="9">
        <f t="shared" si="0"/>
        <v>-3.6922810857608237</v>
      </c>
      <c r="U17" s="9">
        <v>3</v>
      </c>
      <c r="V17" s="9">
        <f t="shared" si="1"/>
        <v>5.3703224482427361</v>
      </c>
      <c r="W17" s="9">
        <f t="shared" si="2"/>
        <v>5.3703224482427361</v>
      </c>
      <c r="X17" s="9">
        <f t="shared" si="3"/>
        <v>5.370298845339887</v>
      </c>
    </row>
    <row r="18" spans="2:24" x14ac:dyDescent="0.25">
      <c r="B18" s="1">
        <v>5</v>
      </c>
      <c r="C18" s="1">
        <f t="shared" si="4"/>
        <v>-4.4358726574911884</v>
      </c>
      <c r="R18" s="9">
        <v>1</v>
      </c>
      <c r="S18" s="9">
        <v>5</v>
      </c>
      <c r="T18" s="9">
        <f t="shared" si="0"/>
        <v>-4.4358726574911884</v>
      </c>
      <c r="U18" s="9">
        <v>20.333333333333332</v>
      </c>
      <c r="V18" s="9">
        <f t="shared" si="1"/>
        <v>19.876424981714727</v>
      </c>
      <c r="W18" s="9">
        <f t="shared" si="2"/>
        <v>19.876424981714727</v>
      </c>
      <c r="X18" s="9">
        <f t="shared" si="3"/>
        <v>19.87633762358449</v>
      </c>
    </row>
    <row r="19" spans="2:24" x14ac:dyDescent="0.25">
      <c r="B19" s="1">
        <v>6</v>
      </c>
      <c r="C19" s="1">
        <f t="shared" si="4"/>
        <v>-5.1794642292215523</v>
      </c>
      <c r="R19" s="9">
        <v>1</v>
      </c>
      <c r="S19" s="9">
        <v>6</v>
      </c>
      <c r="T19" s="9">
        <f t="shared" si="0"/>
        <v>-5.1794642292215523</v>
      </c>
      <c r="U19" s="9">
        <v>0.66666666666666696</v>
      </c>
      <c r="V19" s="9">
        <f t="shared" si="1"/>
        <v>4.6913163961917874</v>
      </c>
      <c r="W19" s="9">
        <f t="shared" si="2"/>
        <v>4.6913163961917874</v>
      </c>
      <c r="X19" s="9">
        <f t="shared" si="3"/>
        <v>4.6912957775629796</v>
      </c>
    </row>
    <row r="20" spans="2:24" x14ac:dyDescent="0.25">
      <c r="B20" s="1">
        <v>7</v>
      </c>
      <c r="C20" s="1">
        <f t="shared" si="4"/>
        <v>-5.923055800951917</v>
      </c>
      <c r="R20" s="9">
        <v>1</v>
      </c>
      <c r="S20" s="9">
        <v>7</v>
      </c>
      <c r="T20" s="9">
        <f t="shared" si="0"/>
        <v>-5.923055800951917</v>
      </c>
      <c r="U20" s="9">
        <v>24</v>
      </c>
      <c r="V20" s="9">
        <f t="shared" si="1"/>
        <v>24.012209921933227</v>
      </c>
      <c r="W20" s="9">
        <f t="shared" si="2"/>
        <v>24.012209921933227</v>
      </c>
      <c r="X20" s="9">
        <f t="shared" si="3"/>
        <v>24.012104386769657</v>
      </c>
    </row>
    <row r="21" spans="2:24" x14ac:dyDescent="0.25">
      <c r="B21" s="1">
        <v>8</v>
      </c>
      <c r="C21" s="1">
        <f t="shared" si="4"/>
        <v>-6.6666473726822817</v>
      </c>
      <c r="R21" s="9">
        <v>1</v>
      </c>
      <c r="S21" s="9">
        <v>8</v>
      </c>
      <c r="T21" s="9">
        <f t="shared" si="0"/>
        <v>-6.6666473726822817</v>
      </c>
      <c r="U21" s="9">
        <v>19.333333333333336</v>
      </c>
      <c r="V21" s="9">
        <f t="shared" si="1"/>
        <v>20.864078817083907</v>
      </c>
      <c r="W21" s="9">
        <f t="shared" si="2"/>
        <v>20.864078817083907</v>
      </c>
      <c r="X21" s="9">
        <f t="shared" si="3"/>
        <v>20.863987118153332</v>
      </c>
    </row>
    <row r="22" spans="2:24" x14ac:dyDescent="0.25">
      <c r="B22" s="1">
        <v>9</v>
      </c>
      <c r="C22" s="1">
        <f t="shared" si="4"/>
        <v>-7.4102389444126464</v>
      </c>
      <c r="R22" s="9">
        <v>1</v>
      </c>
      <c r="S22" s="9">
        <v>9</v>
      </c>
      <c r="T22" s="9">
        <f t="shared" si="0"/>
        <v>-7.4102389444126464</v>
      </c>
      <c r="U22" s="9">
        <v>17.666666666666668</v>
      </c>
      <c r="V22" s="9">
        <f t="shared" si="1"/>
        <v>20.123343208369313</v>
      </c>
      <c r="W22" s="9">
        <f t="shared" si="2"/>
        <v>20.123343208369313</v>
      </c>
      <c r="X22" s="9">
        <f t="shared" si="3"/>
        <v>20.123254765018036</v>
      </c>
    </row>
    <row r="23" spans="2:24" x14ac:dyDescent="0.25">
      <c r="B23" s="1">
        <v>10</v>
      </c>
      <c r="C23" s="1">
        <f t="shared" si="4"/>
        <v>-8.1538305161430102</v>
      </c>
      <c r="R23" s="9">
        <v>1</v>
      </c>
      <c r="S23" s="9">
        <v>10</v>
      </c>
      <c r="T23" s="9">
        <f t="shared" si="0"/>
        <v>-8.1538305161430102</v>
      </c>
      <c r="U23" s="9">
        <v>3.0000000000000009</v>
      </c>
      <c r="V23" s="9">
        <f t="shared" si="1"/>
        <v>8.9505604497375781</v>
      </c>
      <c r="W23" s="9">
        <f t="shared" si="2"/>
        <v>8.9505604497375781</v>
      </c>
      <c r="X23" s="9">
        <f t="shared" si="3"/>
        <v>8.9505211114649192</v>
      </c>
    </row>
    <row r="24" spans="2:24" x14ac:dyDescent="0.25">
      <c r="R24" s="10">
        <v>-1</v>
      </c>
      <c r="S24" s="10">
        <v>-10</v>
      </c>
      <c r="T24" s="10">
        <f t="shared" si="0"/>
        <v>6.7180009184642797</v>
      </c>
      <c r="U24" s="10">
        <v>-15.666666666666668</v>
      </c>
      <c r="V24" s="10">
        <f t="shared" si="1"/>
        <v>-17.962915975639064</v>
      </c>
      <c r="W24" s="10">
        <f t="shared" si="2"/>
        <v>17.962915975639064</v>
      </c>
      <c r="X24" s="10">
        <f t="shared" si="3"/>
        <v>17.962837027500523</v>
      </c>
    </row>
    <row r="25" spans="2:24" ht="16.5" x14ac:dyDescent="0.3">
      <c r="E25" s="4" t="s">
        <v>2</v>
      </c>
      <c r="F25" s="4" t="s">
        <v>3</v>
      </c>
      <c r="G25" s="4" t="s">
        <v>4</v>
      </c>
      <c r="R25" s="10">
        <v>-1</v>
      </c>
      <c r="S25" s="10">
        <v>-9</v>
      </c>
      <c r="T25" s="10">
        <f t="shared" si="0"/>
        <v>5.974409346733915</v>
      </c>
      <c r="U25" s="10">
        <v>-24.333333333333332</v>
      </c>
      <c r="V25" s="10">
        <f t="shared" si="1"/>
        <v>-24.320907742001346</v>
      </c>
      <c r="W25" s="10">
        <f t="shared" si="2"/>
        <v>24.320907742001346</v>
      </c>
      <c r="X25" s="10">
        <f t="shared" si="3"/>
        <v>24.320800850091565</v>
      </c>
    </row>
    <row r="26" spans="2:24" x14ac:dyDescent="0.25">
      <c r="E26" s="5" t="s">
        <v>1</v>
      </c>
      <c r="F26" s="5" t="s">
        <v>0</v>
      </c>
      <c r="G26" s="5">
        <v>-1</v>
      </c>
      <c r="R26" s="10">
        <v>-1</v>
      </c>
      <c r="S26" s="10">
        <v>-8</v>
      </c>
      <c r="T26" s="10">
        <f t="shared" si="0"/>
        <v>5.2308177750035503</v>
      </c>
      <c r="U26" s="10">
        <v>-2</v>
      </c>
      <c r="V26" s="10">
        <f t="shared" si="1"/>
        <v>-5.8024793816381512</v>
      </c>
      <c r="W26" s="10">
        <f t="shared" si="2"/>
        <v>5.8024793816381512</v>
      </c>
      <c r="X26" s="10">
        <f t="shared" si="3"/>
        <v>5.8024538793785663</v>
      </c>
    </row>
    <row r="27" spans="2:24" x14ac:dyDescent="0.25">
      <c r="E27" s="2">
        <f>E6</f>
        <v>-0.71791479883936571</v>
      </c>
      <c r="F27" s="2">
        <f>E5</f>
        <v>-0.7435915717303645</v>
      </c>
      <c r="G27" s="2">
        <v>-1</v>
      </c>
      <c r="H27" t="s">
        <v>15</v>
      </c>
      <c r="R27" s="10">
        <v>-1</v>
      </c>
      <c r="S27" s="10">
        <v>-7</v>
      </c>
      <c r="T27" s="10">
        <f t="shared" si="0"/>
        <v>4.4872262032731856</v>
      </c>
      <c r="U27" s="10">
        <v>-25.666666666666668</v>
      </c>
      <c r="V27" s="10">
        <f t="shared" si="1"/>
        <v>-24.19744862867406</v>
      </c>
      <c r="W27" s="10">
        <f t="shared" si="2"/>
        <v>24.19744862867406</v>
      </c>
      <c r="X27" s="10">
        <f t="shared" si="3"/>
        <v>24.197342279374794</v>
      </c>
    </row>
    <row r="28" spans="2:24" x14ac:dyDescent="0.25">
      <c r="E28" s="2">
        <f>E27*-beta2</f>
        <v>0.57610161777811852</v>
      </c>
      <c r="F28" s="2">
        <f>F27*-beta2</f>
        <v>0.59670633358247338</v>
      </c>
      <c r="G28" s="2">
        <f>G27*-beta2</f>
        <v>0.80246516537824142</v>
      </c>
      <c r="H28" t="s">
        <v>16</v>
      </c>
      <c r="R28" s="10">
        <v>-1</v>
      </c>
      <c r="S28" s="10">
        <v>-6</v>
      </c>
      <c r="T28" s="10">
        <f t="shared" si="0"/>
        <v>3.7436346315428208</v>
      </c>
      <c r="U28" s="10">
        <v>-9.3333333333333339</v>
      </c>
      <c r="V28" s="10">
        <f t="shared" si="1"/>
        <v>-10.493811260580308</v>
      </c>
      <c r="W28" s="10">
        <f t="shared" si="2"/>
        <v>10.493811260580308</v>
      </c>
      <c r="X28" s="10">
        <f t="shared" si="3"/>
        <v>10.493765139623868</v>
      </c>
    </row>
    <row r="29" spans="2:24" x14ac:dyDescent="0.25">
      <c r="H29" t="s">
        <v>17</v>
      </c>
      <c r="R29" s="10">
        <v>-1</v>
      </c>
      <c r="S29" s="10">
        <v>-5</v>
      </c>
      <c r="T29" s="10">
        <f t="shared" si="0"/>
        <v>3.000043059812457</v>
      </c>
      <c r="U29" s="10">
        <v>-4</v>
      </c>
      <c r="V29" s="10">
        <f t="shared" si="1"/>
        <v>-5.6172907116472146</v>
      </c>
      <c r="W29" s="10">
        <f t="shared" si="2"/>
        <v>5.6172907116472146</v>
      </c>
      <c r="X29" s="10">
        <f t="shared" si="3"/>
        <v>5.6172660233034097</v>
      </c>
    </row>
    <row r="30" spans="2:24" x14ac:dyDescent="0.25">
      <c r="R30" s="10">
        <v>-1</v>
      </c>
      <c r="S30" s="10">
        <v>-4</v>
      </c>
      <c r="T30" s="10">
        <f t="shared" si="0"/>
        <v>2.2564514880820923</v>
      </c>
      <c r="U30" s="10">
        <v>-16.666666666666668</v>
      </c>
      <c r="V30" s="10">
        <f t="shared" si="1"/>
        <v>-15.185143139522467</v>
      </c>
      <c r="W30" s="10">
        <f t="shared" si="2"/>
        <v>15.185143139522467</v>
      </c>
      <c r="X30" s="10">
        <f t="shared" si="3"/>
        <v>15.185076399869171</v>
      </c>
    </row>
    <row r="31" spans="2:24" x14ac:dyDescent="0.25">
      <c r="R31" s="10">
        <v>-1</v>
      </c>
      <c r="S31" s="10">
        <v>-3</v>
      </c>
      <c r="T31" s="10">
        <f t="shared" si="0"/>
        <v>1.5128599163517276</v>
      </c>
      <c r="U31" s="10">
        <v>-4.333333333333333</v>
      </c>
      <c r="V31" s="10">
        <f t="shared" si="1"/>
        <v>-4.6913664329416811</v>
      </c>
      <c r="W31" s="10">
        <f t="shared" si="2"/>
        <v>4.6913664329416811</v>
      </c>
      <c r="X31" s="10">
        <f t="shared" si="3"/>
        <v>4.6913458140929585</v>
      </c>
    </row>
    <row r="32" spans="2:24" x14ac:dyDescent="0.25">
      <c r="C32" t="s">
        <v>9</v>
      </c>
      <c r="R32" s="10">
        <v>-1</v>
      </c>
      <c r="S32" s="10">
        <v>-2</v>
      </c>
      <c r="T32" s="10">
        <f t="shared" si="0"/>
        <v>0.76926834462136329</v>
      </c>
      <c r="U32" s="10">
        <v>-28</v>
      </c>
      <c r="V32" s="10">
        <f t="shared" si="1"/>
        <v>-23.086335679977587</v>
      </c>
      <c r="W32" s="10">
        <f t="shared" si="2"/>
        <v>23.086335679977587</v>
      </c>
      <c r="X32" s="10">
        <f t="shared" si="3"/>
        <v>23.086234214089188</v>
      </c>
    </row>
    <row r="33" spans="18:24" x14ac:dyDescent="0.25">
      <c r="R33" s="10">
        <v>-1</v>
      </c>
      <c r="S33" s="10">
        <v>-1</v>
      </c>
      <c r="T33" s="10">
        <f t="shared" si="0"/>
        <v>2.5676772890998789E-2</v>
      </c>
      <c r="U33" s="10">
        <v>-22.666666666666668</v>
      </c>
      <c r="V33" s="10">
        <f t="shared" si="1"/>
        <v>-18.209815131044493</v>
      </c>
      <c r="W33" s="10">
        <f t="shared" si="2"/>
        <v>18.209815131044493</v>
      </c>
      <c r="X33" s="10">
        <f t="shared" si="3"/>
        <v>18.209735097768728</v>
      </c>
    </row>
    <row r="34" spans="18:24" x14ac:dyDescent="0.25">
      <c r="R34" s="10">
        <v>-1</v>
      </c>
      <c r="S34" s="10">
        <v>0</v>
      </c>
      <c r="T34" s="10">
        <f t="shared" si="0"/>
        <v>-0.71791479883936571</v>
      </c>
      <c r="U34" s="10">
        <v>-12.333333333333334</v>
      </c>
      <c r="V34" s="10">
        <f t="shared" si="1"/>
        <v>-9.3209687552201927</v>
      </c>
      <c r="W34" s="10">
        <f t="shared" si="2"/>
        <v>9.3209687552201927</v>
      </c>
      <c r="X34" s="10">
        <f t="shared" si="3"/>
        <v>9.3209277889798763</v>
      </c>
    </row>
    <row r="35" spans="18:24" x14ac:dyDescent="0.25">
      <c r="R35" s="10">
        <v>-1</v>
      </c>
      <c r="S35" s="10">
        <v>1</v>
      </c>
      <c r="T35" s="10">
        <f t="shared" si="0"/>
        <v>-1.4615063705697302</v>
      </c>
      <c r="U35" s="10">
        <v>-15</v>
      </c>
      <c r="V35" s="10">
        <f t="shared" si="1"/>
        <v>-10.864169529313031</v>
      </c>
      <c r="W35" s="10">
        <f t="shared" si="2"/>
        <v>10.864169529313031</v>
      </c>
      <c r="X35" s="10">
        <f t="shared" si="3"/>
        <v>10.864121780608848</v>
      </c>
    </row>
    <row r="36" spans="18:24" x14ac:dyDescent="0.25">
      <c r="R36" s="10">
        <v>-1</v>
      </c>
      <c r="S36" s="10">
        <v>2</v>
      </c>
      <c r="T36" s="10">
        <f t="shared" si="0"/>
        <v>-2.2050979423000947</v>
      </c>
      <c r="U36" s="10">
        <v>-17.666666666666668</v>
      </c>
      <c r="V36" s="10">
        <f t="shared" si="1"/>
        <v>-12.407370303405868</v>
      </c>
      <c r="W36" s="10">
        <f t="shared" si="2"/>
        <v>12.407370303405868</v>
      </c>
      <c r="X36" s="10">
        <f t="shared" si="3"/>
        <v>12.407315772237819</v>
      </c>
    </row>
    <row r="37" spans="18:24" x14ac:dyDescent="0.25">
      <c r="R37" s="10">
        <v>-1</v>
      </c>
      <c r="S37" s="10">
        <v>3</v>
      </c>
      <c r="T37" s="10">
        <f t="shared" si="0"/>
        <v>-2.948689514030459</v>
      </c>
      <c r="U37" s="10">
        <v>-13.333333333333334</v>
      </c>
      <c r="V37" s="10">
        <f t="shared" si="1"/>
        <v>-8.3333149198510146</v>
      </c>
      <c r="W37" s="10">
        <f t="shared" si="2"/>
        <v>8.3333149198510146</v>
      </c>
      <c r="X37" s="10">
        <f t="shared" si="3"/>
        <v>8.3332782944110395</v>
      </c>
    </row>
    <row r="38" spans="18:24" x14ac:dyDescent="0.25">
      <c r="R38" s="10">
        <v>-1</v>
      </c>
      <c r="S38" s="10">
        <v>4</v>
      </c>
      <c r="T38" s="10">
        <f t="shared" si="0"/>
        <v>-3.6922810857608237</v>
      </c>
      <c r="U38" s="10">
        <v>-22</v>
      </c>
      <c r="V38" s="10">
        <f t="shared" si="1"/>
        <v>-14.6913066862133</v>
      </c>
      <c r="W38" s="10">
        <f t="shared" si="2"/>
        <v>14.6913066862133</v>
      </c>
      <c r="X38" s="10">
        <f t="shared" si="3"/>
        <v>14.691242117002083</v>
      </c>
    </row>
    <row r="39" spans="18:24" x14ac:dyDescent="0.25">
      <c r="R39" s="10">
        <v>-1</v>
      </c>
      <c r="S39" s="10">
        <v>5</v>
      </c>
      <c r="T39" s="10">
        <f t="shared" si="0"/>
        <v>-4.4358726574911884</v>
      </c>
      <c r="U39" s="10">
        <v>-23.666666666666668</v>
      </c>
      <c r="V39" s="10">
        <f t="shared" si="1"/>
        <v>-15.432042294927896</v>
      </c>
      <c r="W39" s="10">
        <f t="shared" si="2"/>
        <v>15.432042294927896</v>
      </c>
      <c r="X39" s="10">
        <f t="shared" si="3"/>
        <v>15.431974470137378</v>
      </c>
    </row>
    <row r="40" spans="18:24" x14ac:dyDescent="0.25">
      <c r="R40" s="10">
        <v>-1</v>
      </c>
      <c r="S40" s="10">
        <v>6</v>
      </c>
      <c r="T40" s="10">
        <f t="shared" si="0"/>
        <v>-5.1794642292215523</v>
      </c>
      <c r="U40" s="10">
        <v>-28.333333333333332</v>
      </c>
      <c r="V40" s="10">
        <f t="shared" si="1"/>
        <v>-18.580173399777212</v>
      </c>
      <c r="W40" s="10">
        <f t="shared" si="2"/>
        <v>18.580173399777212</v>
      </c>
      <c r="X40" s="10">
        <f t="shared" si="3"/>
        <v>18.580091738753705</v>
      </c>
    </row>
    <row r="41" spans="18:24" x14ac:dyDescent="0.25">
      <c r="R41" s="10">
        <v>-1</v>
      </c>
      <c r="S41" s="10">
        <v>7</v>
      </c>
      <c r="T41" s="10">
        <f t="shared" si="0"/>
        <v>-5.923055800951917</v>
      </c>
      <c r="U41" s="10">
        <v>-27</v>
      </c>
      <c r="V41" s="10">
        <f t="shared" si="1"/>
        <v>-16.913513512357085</v>
      </c>
      <c r="W41" s="10">
        <f t="shared" si="2"/>
        <v>16.913513512357085</v>
      </c>
      <c r="X41" s="10">
        <f t="shared" si="3"/>
        <v>16.913439176407962</v>
      </c>
    </row>
    <row r="42" spans="18:24" x14ac:dyDescent="0.25">
      <c r="R42" s="10">
        <v>-1</v>
      </c>
      <c r="S42" s="10">
        <v>8</v>
      </c>
      <c r="T42" s="10">
        <f t="shared" si="0"/>
        <v>-6.6666473726822817</v>
      </c>
      <c r="U42" s="10">
        <v>-35.666666666666664</v>
      </c>
      <c r="V42" s="10">
        <f t="shared" si="1"/>
        <v>-23.271505278719371</v>
      </c>
      <c r="W42" s="10">
        <f t="shared" si="2"/>
        <v>23.271505278719371</v>
      </c>
      <c r="X42" s="10">
        <f t="shared" si="3"/>
        <v>23.271402998999005</v>
      </c>
    </row>
    <row r="43" spans="18:24" x14ac:dyDescent="0.25">
      <c r="R43" s="10">
        <v>-1</v>
      </c>
      <c r="S43" s="10">
        <v>9</v>
      </c>
      <c r="T43" s="10">
        <f t="shared" si="0"/>
        <v>-7.4102389444126464</v>
      </c>
      <c r="U43" s="10">
        <v>-36.333333333333336</v>
      </c>
      <c r="V43" s="10">
        <f t="shared" si="1"/>
        <v>-23.209775722055728</v>
      </c>
      <c r="W43" s="10">
        <f t="shared" si="2"/>
        <v>23.209775722055728</v>
      </c>
      <c r="X43" s="10">
        <f t="shared" si="3"/>
        <v>23.209673713640626</v>
      </c>
    </row>
    <row r="44" spans="18:24" x14ac:dyDescent="0.25">
      <c r="R44" s="10">
        <v>-1</v>
      </c>
      <c r="S44" s="10">
        <v>10</v>
      </c>
      <c r="T44" s="10">
        <f t="shared" si="0"/>
        <v>-8.1538305161430102</v>
      </c>
      <c r="U44" s="10">
        <v>-14</v>
      </c>
      <c r="V44" s="10">
        <f t="shared" si="1"/>
        <v>-4.691347361692527</v>
      </c>
      <c r="W44" s="10">
        <f t="shared" si="2"/>
        <v>4.691347361692527</v>
      </c>
      <c r="X44" s="10">
        <f t="shared" si="3"/>
        <v>4.6913267429276244</v>
      </c>
    </row>
    <row r="50" spans="3:16" x14ac:dyDescent="0.25">
      <c r="C50" s="14" t="s">
        <v>22</v>
      </c>
      <c r="E50" s="31" t="s">
        <v>22</v>
      </c>
      <c r="F50" s="31"/>
      <c r="G50" s="31"/>
      <c r="K50" s="32" t="s">
        <v>37</v>
      </c>
      <c r="L50" s="32"/>
      <c r="M50" s="32"/>
      <c r="O50" s="32" t="s">
        <v>40</v>
      </c>
      <c r="P50" s="32"/>
    </row>
    <row r="51" spans="3:16" ht="18" x14ac:dyDescent="0.35">
      <c r="C51" s="11">
        <v>35.333333333333336</v>
      </c>
      <c r="E51" s="2">
        <v>-5</v>
      </c>
      <c r="F51" s="2">
        <v>8</v>
      </c>
      <c r="G51" s="2">
        <v>1</v>
      </c>
      <c r="H51" t="s">
        <v>18</v>
      </c>
      <c r="K51" s="3" t="s">
        <v>5</v>
      </c>
      <c r="L51" s="3" t="s">
        <v>6</v>
      </c>
      <c r="M51" s="3" t="s">
        <v>6</v>
      </c>
      <c r="O51" s="16" t="s">
        <v>38</v>
      </c>
      <c r="P51" s="16" t="s">
        <v>39</v>
      </c>
    </row>
    <row r="52" spans="3:16" x14ac:dyDescent="0.25">
      <c r="C52" s="12">
        <v>31.666666666666668</v>
      </c>
      <c r="E52" s="2">
        <v>0</v>
      </c>
      <c r="F52" s="2">
        <f>SQRT(0.5)</f>
        <v>0.70710678118654757</v>
      </c>
      <c r="G52" s="2">
        <f>SQRT(0.5)</f>
        <v>0.70710678118654757</v>
      </c>
      <c r="H52" t="s">
        <v>19</v>
      </c>
      <c r="K52" s="1">
        <v>-10</v>
      </c>
      <c r="L52">
        <f>slope*$K52+O$52</f>
        <v>0.8718443283524131</v>
      </c>
      <c r="M52">
        <f>slope*$K52+P$52</f>
        <v>12.564157508576146</v>
      </c>
      <c r="O52" s="17">
        <f>intercept-Z3*SQRT(slope^2+1)</f>
        <v>-6.5640713889512323</v>
      </c>
      <c r="P52" s="17">
        <f>intercept+Z3*SQRT(slope^2+1)</f>
        <v>5.1282417912725009</v>
      </c>
    </row>
    <row r="53" spans="3:16" x14ac:dyDescent="0.25">
      <c r="C53" s="12">
        <v>26</v>
      </c>
      <c r="H53" t="s">
        <v>20</v>
      </c>
      <c r="K53" s="1">
        <v>-9</v>
      </c>
      <c r="L53">
        <f t="shared" ref="L53:L72" si="5">slope*K53+O$52</f>
        <v>0.12825275662204838</v>
      </c>
      <c r="M53">
        <f t="shared" ref="M53:M72" si="6">slope*$K53+P$52</f>
        <v>11.820565936845782</v>
      </c>
    </row>
    <row r="54" spans="3:16" x14ac:dyDescent="0.25">
      <c r="C54" s="12">
        <v>31.333333333333332</v>
      </c>
      <c r="K54" s="1">
        <v>-8</v>
      </c>
      <c r="L54">
        <f t="shared" si="5"/>
        <v>-0.61533881510831634</v>
      </c>
      <c r="M54">
        <f t="shared" si="6"/>
        <v>11.076974365115417</v>
      </c>
    </row>
    <row r="55" spans="3:16" x14ac:dyDescent="0.25">
      <c r="C55" s="12">
        <v>31.666666666666668</v>
      </c>
      <c r="K55" s="1">
        <v>-7</v>
      </c>
      <c r="L55">
        <f t="shared" si="5"/>
        <v>-1.3589303868386811</v>
      </c>
      <c r="M55">
        <f t="shared" si="6"/>
        <v>10.333382793385052</v>
      </c>
    </row>
    <row r="56" spans="3:16" x14ac:dyDescent="0.25">
      <c r="C56" s="12">
        <v>17</v>
      </c>
      <c r="K56" s="1">
        <v>-6</v>
      </c>
      <c r="L56">
        <f t="shared" si="5"/>
        <v>-2.1025219585690458</v>
      </c>
      <c r="M56">
        <f t="shared" si="6"/>
        <v>9.5897912216546874</v>
      </c>
    </row>
    <row r="57" spans="3:16" x14ac:dyDescent="0.25">
      <c r="C57" s="12">
        <v>31.333333333333332</v>
      </c>
      <c r="K57" s="1">
        <v>-5</v>
      </c>
      <c r="L57">
        <f t="shared" si="5"/>
        <v>-2.8461135302994096</v>
      </c>
      <c r="M57">
        <f t="shared" si="6"/>
        <v>8.8461996499243227</v>
      </c>
    </row>
    <row r="58" spans="3:16" x14ac:dyDescent="0.25">
      <c r="C58" s="12">
        <v>10.666666666666666</v>
      </c>
      <c r="K58" s="1">
        <v>-4</v>
      </c>
      <c r="L58">
        <f t="shared" si="5"/>
        <v>-3.5897051020297743</v>
      </c>
      <c r="M58">
        <f t="shared" si="6"/>
        <v>8.1026080781939598</v>
      </c>
    </row>
    <row r="59" spans="3:16" x14ac:dyDescent="0.25">
      <c r="C59" s="12">
        <v>27</v>
      </c>
      <c r="K59" s="1">
        <v>-3</v>
      </c>
      <c r="L59">
        <f t="shared" si="5"/>
        <v>-4.3332966737601391</v>
      </c>
      <c r="M59">
        <f t="shared" si="6"/>
        <v>7.3590165064635942</v>
      </c>
    </row>
    <row r="60" spans="3:16" x14ac:dyDescent="0.25">
      <c r="C60" s="12">
        <v>28.333333333333332</v>
      </c>
      <c r="K60" s="1">
        <v>-2</v>
      </c>
      <c r="L60">
        <f t="shared" si="5"/>
        <v>-5.0768882454905029</v>
      </c>
      <c r="M60">
        <f t="shared" si="6"/>
        <v>6.6154249347332303</v>
      </c>
    </row>
    <row r="61" spans="3:16" x14ac:dyDescent="0.25">
      <c r="C61" s="12">
        <v>28.666666666666668</v>
      </c>
      <c r="K61" s="1">
        <v>-1</v>
      </c>
      <c r="L61">
        <f t="shared" si="5"/>
        <v>-5.8204798172208676</v>
      </c>
      <c r="M61">
        <f t="shared" si="6"/>
        <v>5.8718333630028656</v>
      </c>
    </row>
    <row r="62" spans="3:16" x14ac:dyDescent="0.25">
      <c r="C62" s="12">
        <v>19</v>
      </c>
      <c r="K62" s="1">
        <v>0</v>
      </c>
      <c r="L62">
        <f t="shared" si="5"/>
        <v>-6.5640713889512323</v>
      </c>
      <c r="M62">
        <f t="shared" si="6"/>
        <v>5.1282417912725009</v>
      </c>
    </row>
    <row r="63" spans="3:16" x14ac:dyDescent="0.25">
      <c r="C63" s="12">
        <v>23.333333333333332</v>
      </c>
      <c r="K63" s="1">
        <v>1</v>
      </c>
      <c r="L63">
        <f t="shared" si="5"/>
        <v>-7.307662960681597</v>
      </c>
      <c r="M63">
        <f t="shared" si="6"/>
        <v>4.3846502195421362</v>
      </c>
    </row>
    <row r="64" spans="3:16" x14ac:dyDescent="0.25">
      <c r="C64" s="12">
        <v>10.666666666666666</v>
      </c>
      <c r="K64" s="1">
        <v>2</v>
      </c>
      <c r="L64">
        <f t="shared" si="5"/>
        <v>-8.0512545324119618</v>
      </c>
      <c r="M64">
        <f t="shared" si="6"/>
        <v>3.6410586478117719</v>
      </c>
    </row>
    <row r="65" spans="3:13" x14ac:dyDescent="0.25">
      <c r="C65" s="12">
        <v>3</v>
      </c>
      <c r="K65" s="1">
        <v>3</v>
      </c>
      <c r="L65">
        <f t="shared" si="5"/>
        <v>-8.7948461041423265</v>
      </c>
      <c r="M65">
        <f t="shared" si="6"/>
        <v>2.8974670760814076</v>
      </c>
    </row>
    <row r="66" spans="3:13" x14ac:dyDescent="0.25">
      <c r="C66" s="12">
        <v>20.333333333333332</v>
      </c>
      <c r="K66" s="1">
        <v>4</v>
      </c>
      <c r="L66">
        <f t="shared" si="5"/>
        <v>-9.5384376758726894</v>
      </c>
      <c r="M66">
        <f t="shared" si="6"/>
        <v>2.1538755043510429</v>
      </c>
    </row>
    <row r="67" spans="3:13" x14ac:dyDescent="0.25">
      <c r="C67" s="12">
        <v>0.66666666666666696</v>
      </c>
      <c r="K67" s="1">
        <v>5</v>
      </c>
      <c r="L67">
        <f t="shared" si="5"/>
        <v>-10.282029247603056</v>
      </c>
      <c r="M67">
        <f t="shared" si="6"/>
        <v>1.4102839326206782</v>
      </c>
    </row>
    <row r="68" spans="3:13" x14ac:dyDescent="0.25">
      <c r="C68" s="12">
        <v>24</v>
      </c>
      <c r="K68" s="1">
        <v>6</v>
      </c>
      <c r="L68">
        <f t="shared" si="5"/>
        <v>-11.025620819333419</v>
      </c>
      <c r="M68">
        <f t="shared" si="6"/>
        <v>0.66669236089031436</v>
      </c>
    </row>
    <row r="69" spans="3:13" x14ac:dyDescent="0.25">
      <c r="C69" s="12">
        <v>19.333333333333336</v>
      </c>
      <c r="K69" s="1">
        <v>7</v>
      </c>
      <c r="L69">
        <f t="shared" si="5"/>
        <v>-11.769212391063784</v>
      </c>
      <c r="M69">
        <f t="shared" si="6"/>
        <v>-7.6899210840050358E-2</v>
      </c>
    </row>
    <row r="70" spans="3:13" x14ac:dyDescent="0.25">
      <c r="C70" s="12">
        <v>17.666666666666668</v>
      </c>
      <c r="K70" s="1">
        <v>8</v>
      </c>
      <c r="L70">
        <f t="shared" si="5"/>
        <v>-12.512803962794148</v>
      </c>
      <c r="M70">
        <f t="shared" si="6"/>
        <v>-0.82049078257041508</v>
      </c>
    </row>
    <row r="71" spans="3:13" x14ac:dyDescent="0.25">
      <c r="C71" s="12">
        <v>3.0000000000000009</v>
      </c>
      <c r="K71" s="1">
        <v>9</v>
      </c>
      <c r="L71">
        <f t="shared" si="5"/>
        <v>-13.256395534524513</v>
      </c>
      <c r="M71">
        <f t="shared" si="6"/>
        <v>-1.5640823543007798</v>
      </c>
    </row>
    <row r="72" spans="3:13" x14ac:dyDescent="0.25">
      <c r="C72" s="12">
        <v>-15.666666666666668</v>
      </c>
      <c r="K72" s="1">
        <v>10</v>
      </c>
      <c r="L72">
        <f t="shared" si="5"/>
        <v>-13.999987106254878</v>
      </c>
      <c r="M72">
        <f t="shared" si="6"/>
        <v>-2.3076739260311445</v>
      </c>
    </row>
    <row r="73" spans="3:13" x14ac:dyDescent="0.25">
      <c r="C73" s="12">
        <v>-24.333333333333332</v>
      </c>
    </row>
    <row r="74" spans="3:13" x14ac:dyDescent="0.25">
      <c r="C74" s="12">
        <v>-2</v>
      </c>
    </row>
    <row r="75" spans="3:13" x14ac:dyDescent="0.25">
      <c r="C75" s="12">
        <v>-25.666666666666668</v>
      </c>
    </row>
    <row r="76" spans="3:13" x14ac:dyDescent="0.25">
      <c r="C76" s="12">
        <v>-9.3333333333333339</v>
      </c>
    </row>
    <row r="77" spans="3:13" x14ac:dyDescent="0.25">
      <c r="C77" s="12">
        <v>-4</v>
      </c>
    </row>
    <row r="78" spans="3:13" x14ac:dyDescent="0.25">
      <c r="C78" s="12">
        <v>-16.666666666666668</v>
      </c>
    </row>
    <row r="79" spans="3:13" x14ac:dyDescent="0.25">
      <c r="C79" s="12">
        <v>-4.333333333333333</v>
      </c>
    </row>
    <row r="80" spans="3:13" x14ac:dyDescent="0.25">
      <c r="C80" s="12">
        <v>-28</v>
      </c>
    </row>
    <row r="81" spans="3:3" x14ac:dyDescent="0.25">
      <c r="C81" s="12">
        <v>-22.666666666666668</v>
      </c>
    </row>
    <row r="82" spans="3:3" x14ac:dyDescent="0.25">
      <c r="C82" s="12">
        <v>-12.333333333333334</v>
      </c>
    </row>
    <row r="83" spans="3:3" x14ac:dyDescent="0.25">
      <c r="C83" s="12">
        <v>-15</v>
      </c>
    </row>
    <row r="84" spans="3:3" x14ac:dyDescent="0.25">
      <c r="C84" s="12">
        <v>-17.666666666666668</v>
      </c>
    </row>
    <row r="85" spans="3:3" x14ac:dyDescent="0.25">
      <c r="C85" s="12">
        <v>-13.333333333333334</v>
      </c>
    </row>
    <row r="86" spans="3:3" x14ac:dyDescent="0.25">
      <c r="C86" s="12">
        <v>-22</v>
      </c>
    </row>
    <row r="87" spans="3:3" x14ac:dyDescent="0.25">
      <c r="C87" s="12">
        <v>-23.666666666666668</v>
      </c>
    </row>
    <row r="88" spans="3:3" x14ac:dyDescent="0.25">
      <c r="C88" s="12">
        <v>-28.333333333333332</v>
      </c>
    </row>
    <row r="89" spans="3:3" x14ac:dyDescent="0.25">
      <c r="C89" s="12">
        <v>-27</v>
      </c>
    </row>
    <row r="90" spans="3:3" x14ac:dyDescent="0.25">
      <c r="C90" s="12">
        <v>-35.666666666666664</v>
      </c>
    </row>
    <row r="91" spans="3:3" x14ac:dyDescent="0.25">
      <c r="C91" s="12">
        <v>-36.333333333333336</v>
      </c>
    </row>
    <row r="92" spans="3:3" x14ac:dyDescent="0.25">
      <c r="C92" s="13">
        <v>-14</v>
      </c>
    </row>
  </sheetData>
  <mergeCells count="4">
    <mergeCell ref="B1:C1"/>
    <mergeCell ref="E50:G50"/>
    <mergeCell ref="K50:M50"/>
    <mergeCell ref="O50:P50"/>
  </mergeCells>
  <conditionalFormatting sqref="S3:U44">
    <cfRule type="expression" dxfId="2" priority="2">
      <formula>AND($W3&lt;0,showLine)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65" r:id="rId3" name="btnResetX2s">
          <controlPr defaultSize="0" autoLine="0" r:id="rId4">
            <anchor moveWithCells="1">
              <from>
                <xdr:col>18</xdr:col>
                <xdr:colOff>438150</xdr:colOff>
                <xdr:row>0</xdr:row>
                <xdr:rowOff>28575</xdr:rowOff>
              </from>
              <to>
                <xdr:col>20</xdr:col>
                <xdr:colOff>276225</xdr:colOff>
                <xdr:row>1</xdr:row>
                <xdr:rowOff>95250</xdr:rowOff>
              </to>
            </anchor>
          </controlPr>
        </control>
      </mc:Choice>
      <mc:Fallback>
        <control shapeId="2065" r:id="rId3" name="btnResetX2s"/>
      </mc:Fallback>
    </mc:AlternateContent>
    <mc:AlternateContent xmlns:mc="http://schemas.openxmlformats.org/markup-compatibility/2006">
      <mc:Choice Requires="x14">
        <control shapeId="2054" r:id="rId5" name="btnInitialize">
          <controlPr defaultSize="0" autoLine="0" autoPict="0" r:id="rId6">
            <anchor moveWithCells="1">
              <from>
                <xdr:col>4</xdr:col>
                <xdr:colOff>19050</xdr:colOff>
                <xdr:row>0</xdr:row>
                <xdr:rowOff>28575</xdr:rowOff>
              </from>
              <to>
                <xdr:col>4</xdr:col>
                <xdr:colOff>657225</xdr:colOff>
                <xdr:row>1</xdr:row>
                <xdr:rowOff>19050</xdr:rowOff>
              </to>
            </anchor>
          </controlPr>
        </control>
      </mc:Choice>
      <mc:Fallback>
        <control shapeId="2054" r:id="rId5" name="btnInitialize"/>
      </mc:Fallback>
    </mc:AlternateContent>
    <mc:AlternateContent xmlns:mc="http://schemas.openxmlformats.org/markup-compatibility/2006">
      <mc:Choice Requires="x14">
        <control shapeId="2053" r:id="rId7" name="chkShowPoints">
          <controlPr defaultSize="0" autoLine="0" linkedCell="showPoints" r:id="rId8">
            <anchor moveWithCells="1">
              <from>
                <xdr:col>7</xdr:col>
                <xdr:colOff>66675</xdr:colOff>
                <xdr:row>4</xdr:row>
                <xdr:rowOff>57150</xdr:rowOff>
              </from>
              <to>
                <xdr:col>8</xdr:col>
                <xdr:colOff>409575</xdr:colOff>
                <xdr:row>5</xdr:row>
                <xdr:rowOff>104775</xdr:rowOff>
              </to>
            </anchor>
          </controlPr>
        </control>
      </mc:Choice>
      <mc:Fallback>
        <control shapeId="2053" r:id="rId7" name="chkShowPoints"/>
      </mc:Fallback>
    </mc:AlternateContent>
    <mc:AlternateContent xmlns:mc="http://schemas.openxmlformats.org/markup-compatibility/2006">
      <mc:Choice Requires="x14">
        <control shapeId="2052" r:id="rId9" name="chkShowLine">
          <controlPr defaultSize="0" autoLine="0" linkedCell="showLine" r:id="rId10">
            <anchor moveWithCells="1">
              <from>
                <xdr:col>7</xdr:col>
                <xdr:colOff>76200</xdr:colOff>
                <xdr:row>3</xdr:row>
                <xdr:rowOff>38100</xdr:rowOff>
              </from>
              <to>
                <xdr:col>8</xdr:col>
                <xdr:colOff>419100</xdr:colOff>
                <xdr:row>4</xdr:row>
                <xdr:rowOff>85725</xdr:rowOff>
              </to>
            </anchor>
          </controlPr>
        </control>
      </mc:Choice>
      <mc:Fallback>
        <control shapeId="2052" r:id="rId9" name="chkShowLine"/>
      </mc:Fallback>
    </mc:AlternateContent>
    <mc:AlternateContent xmlns:mc="http://schemas.openxmlformats.org/markup-compatibility/2006">
      <mc:Choice Requires="x14">
        <control shapeId="2050" r:id="rId11" name="btnSolve">
          <controlPr defaultSize="0" autoLine="0" autoPict="0" r:id="rId12">
            <anchor moveWithCells="1">
              <from>
                <xdr:col>7</xdr:col>
                <xdr:colOff>76200</xdr:colOff>
                <xdr:row>0</xdr:row>
                <xdr:rowOff>180975</xdr:rowOff>
              </from>
              <to>
                <xdr:col>7</xdr:col>
                <xdr:colOff>581025</xdr:colOff>
                <xdr:row>2</xdr:row>
                <xdr:rowOff>57150</xdr:rowOff>
              </to>
            </anchor>
          </controlPr>
        </control>
      </mc:Choice>
      <mc:Fallback>
        <control shapeId="2050" r:id="rId11" name="btnSolve"/>
      </mc:Fallback>
    </mc:AlternateContent>
    <mc:AlternateContent xmlns:mc="http://schemas.openxmlformats.org/markup-compatibility/2006">
      <mc:Choice Requires="x14">
        <control shapeId="2049" r:id="rId13" name="btnNewValues">
          <controlPr defaultSize="0" autoLine="0" r:id="rId14">
            <anchor moveWithCells="1">
              <from>
                <xdr:col>20</xdr:col>
                <xdr:colOff>285750</xdr:colOff>
                <xdr:row>0</xdr:row>
                <xdr:rowOff>28575</xdr:rowOff>
              </from>
              <to>
                <xdr:col>21</xdr:col>
                <xdr:colOff>123825</xdr:colOff>
                <xdr:row>1</xdr:row>
                <xdr:rowOff>95250</xdr:rowOff>
              </to>
            </anchor>
          </controlPr>
        </control>
      </mc:Choice>
      <mc:Fallback>
        <control shapeId="2049" r:id="rId13" name="btnNewValues"/>
      </mc:Fallback>
    </mc:AlternateContent>
    <mc:AlternateContent xmlns:mc="http://schemas.openxmlformats.org/markup-compatibility/2006">
      <mc:Choice Requires="x14">
        <control shapeId="2066" r:id="rId15" name="chkShowMargins">
          <controlPr defaultSize="0" autoLine="0" autoPict="0" linkedCell="showMargins" r:id="rId16">
            <anchor moveWithCells="1">
              <from>
                <xdr:col>7</xdr:col>
                <xdr:colOff>57150</xdr:colOff>
                <xdr:row>5</xdr:row>
                <xdr:rowOff>76200</xdr:rowOff>
              </from>
              <to>
                <xdr:col>8</xdr:col>
                <xdr:colOff>647700</xdr:colOff>
                <xdr:row>6</xdr:row>
                <xdr:rowOff>123825</xdr:rowOff>
              </to>
            </anchor>
          </controlPr>
        </control>
      </mc:Choice>
      <mc:Fallback>
        <control shapeId="2066" r:id="rId15" name="chkShowMargins"/>
      </mc:Fallback>
    </mc:AlternateContent>
    <mc:AlternateContent xmlns:mc="http://schemas.openxmlformats.org/markup-compatibility/2006">
      <mc:Choice Requires="x14">
        <control shapeId="2070" r:id="rId17" name="scrBeta0">
          <controlPr defaultSize="0" autoLine="0" linkedCell="Link1" r:id="rId18">
            <anchor moveWithCells="1">
              <from>
                <xdr:col>3</xdr:col>
                <xdr:colOff>600075</xdr:colOff>
                <xdr:row>3</xdr:row>
                <xdr:rowOff>9525</xdr:rowOff>
              </from>
              <to>
                <xdr:col>4</xdr:col>
                <xdr:colOff>657225</xdr:colOff>
                <xdr:row>4</xdr:row>
                <xdr:rowOff>9525</xdr:rowOff>
              </to>
            </anchor>
          </controlPr>
        </control>
      </mc:Choice>
      <mc:Fallback>
        <control shapeId="2070" r:id="rId17" name="scrBeta0"/>
      </mc:Fallback>
    </mc:AlternateContent>
    <mc:AlternateContent xmlns:mc="http://schemas.openxmlformats.org/markup-compatibility/2006">
      <mc:Choice Requires="x14">
        <control shapeId="2071" r:id="rId19" name="scrBeta1">
          <controlPr defaultSize="0" autoLine="0" linkedCell="Link2" r:id="rId20">
            <anchor moveWithCells="1">
              <from>
                <xdr:col>5</xdr:col>
                <xdr:colOff>19050</xdr:colOff>
                <xdr:row>3</xdr:row>
                <xdr:rowOff>19050</xdr:rowOff>
              </from>
              <to>
                <xdr:col>6</xdr:col>
                <xdr:colOff>19050</xdr:colOff>
                <xdr:row>4</xdr:row>
                <xdr:rowOff>19050</xdr:rowOff>
              </to>
            </anchor>
          </controlPr>
        </control>
      </mc:Choice>
      <mc:Fallback>
        <control shapeId="2071" r:id="rId19" name="scrBeta1"/>
      </mc:Fallback>
    </mc:AlternateContent>
    <mc:AlternateContent xmlns:mc="http://schemas.openxmlformats.org/markup-compatibility/2006">
      <mc:Choice Requires="x14">
        <control shapeId="2068" r:id="rId21" name="Scroll Bar 20">
          <controlPr defaultSize="0" autoPict="0">
            <anchor moveWithCells="1">
              <from>
                <xdr:col>9</xdr:col>
                <xdr:colOff>247650</xdr:colOff>
                <xdr:row>2</xdr:row>
                <xdr:rowOff>161925</xdr:rowOff>
              </from>
              <to>
                <xdr:col>10</xdr:col>
                <xdr:colOff>257175</xdr:colOff>
                <xdr:row>3</xdr:row>
                <xdr:rowOff>133350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VC"/>
  <dimension ref="B1:AB92"/>
  <sheetViews>
    <sheetView showGridLines="0" topLeftCell="E1" workbookViewId="0">
      <selection activeCell="J36" sqref="J36"/>
    </sheetView>
  </sheetViews>
  <sheetFormatPr defaultRowHeight="15" x14ac:dyDescent="0.25"/>
  <cols>
    <col min="1" max="1" width="2.5703125" customWidth="1"/>
    <col min="5" max="7" width="10" customWidth="1"/>
    <col min="9" max="9" width="12.140625" customWidth="1"/>
    <col min="17" max="17" width="24.5703125" customWidth="1"/>
    <col min="18" max="19" width="9.140625" style="1"/>
    <col min="20" max="20" width="0" style="1" hidden="1" customWidth="1"/>
    <col min="21" max="24" width="9.140625" style="1"/>
    <col min="25" max="25" width="13.85546875" style="1" customWidth="1"/>
    <col min="26" max="26" width="9.140625" style="1"/>
    <col min="27" max="27" width="3.140625" customWidth="1"/>
    <col min="28" max="28" width="12" bestFit="1" customWidth="1"/>
  </cols>
  <sheetData>
    <row r="1" spans="2:28" x14ac:dyDescent="0.25">
      <c r="B1" s="30" t="s">
        <v>21</v>
      </c>
      <c r="C1" s="30"/>
    </row>
    <row r="2" spans="2:28" ht="18" x14ac:dyDescent="0.35">
      <c r="B2" s="3" t="s">
        <v>5</v>
      </c>
      <c r="C2" s="3" t="s">
        <v>6</v>
      </c>
      <c r="E2" s="4" t="s">
        <v>2</v>
      </c>
      <c r="F2" s="4" t="s">
        <v>3</v>
      </c>
      <c r="G2" s="4" t="s">
        <v>4</v>
      </c>
      <c r="I2" s="4" t="s">
        <v>13</v>
      </c>
      <c r="R2" s="6" t="s">
        <v>7</v>
      </c>
      <c r="S2" s="3" t="s">
        <v>5</v>
      </c>
      <c r="T2" s="3" t="s">
        <v>11</v>
      </c>
      <c r="U2" s="3" t="s">
        <v>6</v>
      </c>
      <c r="V2" s="18" t="s">
        <v>41</v>
      </c>
      <c r="W2" s="3" t="s">
        <v>14</v>
      </c>
      <c r="X2" s="3" t="s">
        <v>12</v>
      </c>
      <c r="Y2" s="22" t="s">
        <v>44</v>
      </c>
      <c r="Z2" s="3" t="s">
        <v>10</v>
      </c>
      <c r="AB2" s="7" t="s">
        <v>8</v>
      </c>
    </row>
    <row r="3" spans="2:28" x14ac:dyDescent="0.25">
      <c r="B3" s="1">
        <v>-10</v>
      </c>
      <c r="C3" s="1">
        <f>-beta0/beta2-beta1/beta2*B3</f>
        <v>6.333333333333333</v>
      </c>
      <c r="E3" s="2">
        <v>1</v>
      </c>
      <c r="F3" s="2">
        <v>2</v>
      </c>
      <c r="G3" s="2">
        <v>3</v>
      </c>
      <c r="I3" s="8">
        <f>beta1^2+beta2^2</f>
        <v>13</v>
      </c>
      <c r="R3" s="9">
        <v>1</v>
      </c>
      <c r="S3" s="9">
        <v>-10</v>
      </c>
      <c r="T3" s="9">
        <f t="shared" ref="T3:T44" si="0">-beta0/beta2-beta1/beta2*S3</f>
        <v>6.333333333333333</v>
      </c>
      <c r="U3" s="9">
        <v>35.333333333333336</v>
      </c>
      <c r="V3" s="9">
        <v>0</v>
      </c>
      <c r="W3" s="9">
        <f t="shared" ref="W3:W44" si="1">beta0+beta1*S3+beta2*U3</f>
        <v>87</v>
      </c>
      <c r="X3" s="9">
        <f t="shared" ref="X3:X44" si="2">R3*(beta0+beta1*S3+beta2*U3)</f>
        <v>87</v>
      </c>
      <c r="Y3" s="9">
        <f t="shared" ref="Y3:Y44" si="3">X3/(1-V3)</f>
        <v>87</v>
      </c>
      <c r="Z3" s="9">
        <f t="shared" ref="Z3:Z44" si="4">ABS(slope*S3-U3+intercept)/SQRT(slope^2+1)</f>
        <v>24.129458535797468</v>
      </c>
      <c r="AB3" s="1">
        <f>MIN(Y3:Y44)</f>
        <v>15</v>
      </c>
    </row>
    <row r="4" spans="2:28" x14ac:dyDescent="0.25">
      <c r="B4" s="1">
        <v>-9</v>
      </c>
      <c r="C4" s="1">
        <f t="shared" ref="C4:C23" si="5">-beta0/beta2-beta1/beta2*B4</f>
        <v>5.666666666666667</v>
      </c>
      <c r="R4" s="9">
        <v>1</v>
      </c>
      <c r="S4" s="9">
        <v>-9</v>
      </c>
      <c r="T4" s="9">
        <f t="shared" si="0"/>
        <v>5.666666666666667</v>
      </c>
      <c r="U4" s="9">
        <v>31.666666666666668</v>
      </c>
      <c r="V4" s="9">
        <v>0</v>
      </c>
      <c r="W4" s="9">
        <f t="shared" si="1"/>
        <v>78</v>
      </c>
      <c r="X4" s="9">
        <f t="shared" si="2"/>
        <v>78</v>
      </c>
      <c r="Y4" s="9">
        <f t="shared" si="3"/>
        <v>78</v>
      </c>
      <c r="Z4" s="9">
        <f t="shared" si="4"/>
        <v>21.633307652783934</v>
      </c>
    </row>
    <row r="5" spans="2:28" x14ac:dyDescent="0.25">
      <c r="B5" s="1">
        <v>-8</v>
      </c>
      <c r="C5" s="1">
        <f t="shared" si="5"/>
        <v>5</v>
      </c>
      <c r="E5" s="21" t="s">
        <v>0</v>
      </c>
      <c r="F5" s="2">
        <f>-beta1/beta2</f>
        <v>-0.66666666666666663</v>
      </c>
      <c r="R5" s="9">
        <v>1</v>
      </c>
      <c r="S5" s="9">
        <v>-8</v>
      </c>
      <c r="T5" s="9">
        <f t="shared" si="0"/>
        <v>5</v>
      </c>
      <c r="U5" s="9">
        <v>26</v>
      </c>
      <c r="V5" s="9">
        <v>0</v>
      </c>
      <c r="W5" s="9">
        <f t="shared" si="1"/>
        <v>63</v>
      </c>
      <c r="X5" s="9">
        <f t="shared" si="2"/>
        <v>63</v>
      </c>
      <c r="Y5" s="9">
        <f t="shared" si="3"/>
        <v>63</v>
      </c>
      <c r="Z5" s="9">
        <f t="shared" si="4"/>
        <v>17.473056181094716</v>
      </c>
      <c r="AB5" s="20" t="s">
        <v>42</v>
      </c>
    </row>
    <row r="6" spans="2:28" x14ac:dyDescent="0.25">
      <c r="B6" s="1">
        <v>-7</v>
      </c>
      <c r="C6" s="1">
        <f t="shared" si="5"/>
        <v>4.333333333333333</v>
      </c>
      <c r="E6" s="21" t="s">
        <v>1</v>
      </c>
      <c r="F6" s="2">
        <f>-beta0/beta2</f>
        <v>-0.33333333333333331</v>
      </c>
      <c r="R6" s="9">
        <v>1</v>
      </c>
      <c r="S6" s="9">
        <v>-7</v>
      </c>
      <c r="T6" s="9">
        <f t="shared" si="0"/>
        <v>4.333333333333333</v>
      </c>
      <c r="U6" s="9">
        <v>31.333333333333332</v>
      </c>
      <c r="V6" s="9">
        <v>0</v>
      </c>
      <c r="W6" s="9">
        <f t="shared" si="1"/>
        <v>81</v>
      </c>
      <c r="X6" s="9">
        <f t="shared" si="2"/>
        <v>81</v>
      </c>
      <c r="Y6" s="9">
        <f t="shared" si="3"/>
        <v>81</v>
      </c>
      <c r="Z6" s="9">
        <f t="shared" si="4"/>
        <v>22.465357947121777</v>
      </c>
      <c r="AB6" s="1">
        <f>SUM(V3:V44)</f>
        <v>0</v>
      </c>
    </row>
    <row r="7" spans="2:28" x14ac:dyDescent="0.25">
      <c r="B7" s="1">
        <v>-6</v>
      </c>
      <c r="C7" s="1">
        <f t="shared" si="5"/>
        <v>3.6666666666666665</v>
      </c>
      <c r="N7" t="b">
        <v>1</v>
      </c>
      <c r="R7" s="9">
        <v>1</v>
      </c>
      <c r="S7" s="9">
        <v>-6</v>
      </c>
      <c r="T7" s="9">
        <f t="shared" si="0"/>
        <v>3.6666666666666665</v>
      </c>
      <c r="U7" s="9">
        <v>31.666666666666668</v>
      </c>
      <c r="V7" s="9">
        <v>0</v>
      </c>
      <c r="W7" s="9">
        <f t="shared" si="1"/>
        <v>84</v>
      </c>
      <c r="X7" s="9">
        <f t="shared" si="2"/>
        <v>84</v>
      </c>
      <c r="Y7" s="9">
        <f t="shared" si="3"/>
        <v>84</v>
      </c>
      <c r="Z7" s="9">
        <f t="shared" si="4"/>
        <v>23.297408241459621</v>
      </c>
    </row>
    <row r="8" spans="2:28" x14ac:dyDescent="0.25">
      <c r="B8" s="1">
        <v>-5</v>
      </c>
      <c r="C8" s="1">
        <f t="shared" si="5"/>
        <v>2.9999999999999996</v>
      </c>
      <c r="N8" t="b">
        <v>1</v>
      </c>
      <c r="R8" s="9">
        <v>1</v>
      </c>
      <c r="S8" s="9">
        <v>-5</v>
      </c>
      <c r="T8" s="9">
        <f t="shared" si="0"/>
        <v>2.9999999999999996</v>
      </c>
      <c r="U8" s="9">
        <v>17</v>
      </c>
      <c r="V8" s="9">
        <v>0</v>
      </c>
      <c r="W8" s="9">
        <f t="shared" si="1"/>
        <v>42</v>
      </c>
      <c r="X8" s="9">
        <f t="shared" si="2"/>
        <v>42</v>
      </c>
      <c r="Y8" s="9">
        <f t="shared" si="3"/>
        <v>42</v>
      </c>
      <c r="Z8" s="9">
        <f t="shared" si="4"/>
        <v>11.648704120729812</v>
      </c>
      <c r="AB8" s="19" t="s">
        <v>43</v>
      </c>
    </row>
    <row r="9" spans="2:28" x14ac:dyDescent="0.25">
      <c r="B9" s="1">
        <v>-4</v>
      </c>
      <c r="C9" s="1">
        <f t="shared" si="5"/>
        <v>2.333333333333333</v>
      </c>
      <c r="N9" t="b">
        <v>1</v>
      </c>
      <c r="R9" s="9">
        <v>1</v>
      </c>
      <c r="S9" s="9">
        <v>-4</v>
      </c>
      <c r="T9" s="9">
        <f t="shared" si="0"/>
        <v>2.333333333333333</v>
      </c>
      <c r="U9" s="9">
        <v>31.333333333333332</v>
      </c>
      <c r="V9" s="9">
        <v>0</v>
      </c>
      <c r="W9" s="9">
        <f t="shared" si="1"/>
        <v>87</v>
      </c>
      <c r="X9" s="9">
        <f t="shared" si="2"/>
        <v>87</v>
      </c>
      <c r="Y9" s="9">
        <f t="shared" si="3"/>
        <v>87</v>
      </c>
      <c r="Z9" s="9">
        <f t="shared" si="4"/>
        <v>24.129458535797465</v>
      </c>
      <c r="AB9" s="1">
        <v>0</v>
      </c>
    </row>
    <row r="10" spans="2:28" x14ac:dyDescent="0.25">
      <c r="B10" s="1">
        <v>-3</v>
      </c>
      <c r="C10" s="1">
        <f t="shared" si="5"/>
        <v>1.6666666666666667</v>
      </c>
      <c r="R10" s="9">
        <v>1</v>
      </c>
      <c r="S10" s="9">
        <v>-3</v>
      </c>
      <c r="T10" s="9">
        <f t="shared" si="0"/>
        <v>1.6666666666666667</v>
      </c>
      <c r="U10" s="9">
        <v>10.666666666666666</v>
      </c>
      <c r="V10" s="9">
        <v>0</v>
      </c>
      <c r="W10" s="9">
        <f t="shared" si="1"/>
        <v>27</v>
      </c>
      <c r="X10" s="9">
        <f t="shared" si="2"/>
        <v>27</v>
      </c>
      <c r="Y10" s="9">
        <f t="shared" si="3"/>
        <v>27</v>
      </c>
      <c r="Z10" s="9">
        <f t="shared" si="4"/>
        <v>7.4884526490405934</v>
      </c>
    </row>
    <row r="11" spans="2:28" x14ac:dyDescent="0.25">
      <c r="B11" s="1">
        <v>-2</v>
      </c>
      <c r="C11" s="1">
        <f t="shared" si="5"/>
        <v>1</v>
      </c>
      <c r="R11" s="9">
        <v>1</v>
      </c>
      <c r="S11" s="9">
        <v>-2</v>
      </c>
      <c r="T11" s="9">
        <f t="shared" si="0"/>
        <v>1</v>
      </c>
      <c r="U11" s="9">
        <v>27</v>
      </c>
      <c r="V11" s="9">
        <v>0</v>
      </c>
      <c r="W11" s="9">
        <f t="shared" si="1"/>
        <v>78</v>
      </c>
      <c r="X11" s="9">
        <f t="shared" si="2"/>
        <v>78</v>
      </c>
      <c r="Y11" s="9">
        <f t="shared" si="3"/>
        <v>78</v>
      </c>
      <c r="Z11" s="9">
        <f t="shared" si="4"/>
        <v>21.633307652783934</v>
      </c>
    </row>
    <row r="12" spans="2:28" x14ac:dyDescent="0.25">
      <c r="B12" s="1">
        <v>-1</v>
      </c>
      <c r="C12" s="1">
        <f t="shared" si="5"/>
        <v>0.33333333333333331</v>
      </c>
      <c r="R12" s="9">
        <v>1</v>
      </c>
      <c r="S12" s="9">
        <v>-1</v>
      </c>
      <c r="T12" s="9">
        <f t="shared" si="0"/>
        <v>0.33333333333333331</v>
      </c>
      <c r="U12" s="9">
        <v>28.333333333333332</v>
      </c>
      <c r="V12" s="9">
        <v>0</v>
      </c>
      <c r="W12" s="9">
        <f t="shared" si="1"/>
        <v>84</v>
      </c>
      <c r="X12" s="9">
        <f t="shared" si="2"/>
        <v>84</v>
      </c>
      <c r="Y12" s="9">
        <f t="shared" si="3"/>
        <v>84</v>
      </c>
      <c r="Z12" s="9">
        <f t="shared" si="4"/>
        <v>23.297408241459621</v>
      </c>
    </row>
    <row r="13" spans="2:28" x14ac:dyDescent="0.25">
      <c r="B13" s="1">
        <v>0</v>
      </c>
      <c r="C13" s="1">
        <f t="shared" si="5"/>
        <v>-0.33333333333333331</v>
      </c>
      <c r="R13" s="9">
        <v>1</v>
      </c>
      <c r="S13" s="9">
        <v>0</v>
      </c>
      <c r="T13" s="9">
        <f t="shared" si="0"/>
        <v>-0.33333333333333331</v>
      </c>
      <c r="U13" s="9">
        <v>28.666666666666668</v>
      </c>
      <c r="V13" s="9">
        <v>0</v>
      </c>
      <c r="W13" s="9">
        <f t="shared" si="1"/>
        <v>87</v>
      </c>
      <c r="X13" s="9">
        <f t="shared" si="2"/>
        <v>87</v>
      </c>
      <c r="Y13" s="9">
        <f t="shared" si="3"/>
        <v>87</v>
      </c>
      <c r="Z13" s="9">
        <f t="shared" si="4"/>
        <v>24.129458535797465</v>
      </c>
    </row>
    <row r="14" spans="2:28" x14ac:dyDescent="0.25">
      <c r="B14" s="1">
        <v>1</v>
      </c>
      <c r="C14" s="1">
        <f t="shared" si="5"/>
        <v>-1</v>
      </c>
      <c r="R14" s="9">
        <v>1</v>
      </c>
      <c r="S14" s="9">
        <v>1</v>
      </c>
      <c r="T14" s="9">
        <f t="shared" si="0"/>
        <v>-1</v>
      </c>
      <c r="U14" s="9">
        <v>19</v>
      </c>
      <c r="V14" s="9">
        <v>0</v>
      </c>
      <c r="W14" s="9">
        <f t="shared" si="1"/>
        <v>60</v>
      </c>
      <c r="X14" s="9">
        <f t="shared" si="2"/>
        <v>60</v>
      </c>
      <c r="Y14" s="9">
        <f t="shared" si="3"/>
        <v>60</v>
      </c>
      <c r="Z14" s="9">
        <f t="shared" si="4"/>
        <v>16.641005886756872</v>
      </c>
    </row>
    <row r="15" spans="2:28" x14ac:dyDescent="0.25">
      <c r="B15" s="1">
        <v>2</v>
      </c>
      <c r="C15" s="1">
        <f t="shared" si="5"/>
        <v>-1.6666666666666665</v>
      </c>
      <c r="R15" s="9">
        <v>1</v>
      </c>
      <c r="S15" s="9">
        <v>2</v>
      </c>
      <c r="T15" s="9">
        <f t="shared" si="0"/>
        <v>-1.6666666666666665</v>
      </c>
      <c r="U15" s="9">
        <v>23.333333333333332</v>
      </c>
      <c r="V15" s="9">
        <v>0</v>
      </c>
      <c r="W15" s="9">
        <f t="shared" si="1"/>
        <v>75</v>
      </c>
      <c r="X15" s="9">
        <f t="shared" si="2"/>
        <v>75</v>
      </c>
      <c r="Y15" s="9">
        <f t="shared" si="3"/>
        <v>75</v>
      </c>
      <c r="Z15" s="9">
        <f t="shared" si="4"/>
        <v>20.80125735844609</v>
      </c>
    </row>
    <row r="16" spans="2:28" x14ac:dyDescent="0.25">
      <c r="B16" s="1">
        <v>3</v>
      </c>
      <c r="C16" s="1">
        <f t="shared" si="5"/>
        <v>-2.3333333333333335</v>
      </c>
      <c r="M16" t="s">
        <v>45</v>
      </c>
      <c r="R16" s="9">
        <v>1</v>
      </c>
      <c r="S16" s="9">
        <v>3</v>
      </c>
      <c r="T16" s="9">
        <f t="shared" si="0"/>
        <v>-2.3333333333333335</v>
      </c>
      <c r="U16" s="9">
        <v>10.666666666666666</v>
      </c>
      <c r="V16" s="9">
        <v>0</v>
      </c>
      <c r="W16" s="9">
        <f t="shared" si="1"/>
        <v>39</v>
      </c>
      <c r="X16" s="9">
        <f t="shared" si="2"/>
        <v>39</v>
      </c>
      <c r="Y16" s="9">
        <f t="shared" si="3"/>
        <v>39</v>
      </c>
      <c r="Z16" s="9">
        <f t="shared" si="4"/>
        <v>10.816653826391967</v>
      </c>
    </row>
    <row r="17" spans="2:26" x14ac:dyDescent="0.25">
      <c r="B17" s="1">
        <v>4</v>
      </c>
      <c r="C17" s="1">
        <f t="shared" si="5"/>
        <v>-3</v>
      </c>
      <c r="M17" s="23" t="s">
        <v>58</v>
      </c>
      <c r="R17" s="9">
        <v>1</v>
      </c>
      <c r="S17" s="9">
        <v>4</v>
      </c>
      <c r="T17" s="9">
        <f t="shared" si="0"/>
        <v>-3</v>
      </c>
      <c r="U17" s="9">
        <v>3</v>
      </c>
      <c r="V17" s="9">
        <v>0</v>
      </c>
      <c r="W17" s="9">
        <f t="shared" si="1"/>
        <v>18</v>
      </c>
      <c r="X17" s="9">
        <f t="shared" si="2"/>
        <v>18</v>
      </c>
      <c r="Y17" s="9">
        <f t="shared" si="3"/>
        <v>18</v>
      </c>
      <c r="Z17" s="9">
        <f t="shared" si="4"/>
        <v>4.9923017660270617</v>
      </c>
    </row>
    <row r="18" spans="2:26" x14ac:dyDescent="0.25">
      <c r="B18" s="1">
        <v>5</v>
      </c>
      <c r="C18" s="1">
        <f t="shared" si="5"/>
        <v>-3.6666666666666665</v>
      </c>
      <c r="M18" t="s">
        <v>46</v>
      </c>
      <c r="R18" s="9">
        <v>1</v>
      </c>
      <c r="S18" s="9">
        <v>5</v>
      </c>
      <c r="T18" s="9">
        <f t="shared" si="0"/>
        <v>-3.6666666666666665</v>
      </c>
      <c r="U18" s="9">
        <v>20.333333333333332</v>
      </c>
      <c r="V18" s="9">
        <v>0</v>
      </c>
      <c r="W18" s="9">
        <f t="shared" si="1"/>
        <v>72</v>
      </c>
      <c r="X18" s="9">
        <f t="shared" si="2"/>
        <v>72</v>
      </c>
      <c r="Y18" s="9">
        <f t="shared" si="3"/>
        <v>72</v>
      </c>
      <c r="Z18" s="9">
        <f t="shared" si="4"/>
        <v>19.969207064108247</v>
      </c>
    </row>
    <row r="19" spans="2:26" x14ac:dyDescent="0.25">
      <c r="B19" s="1">
        <v>6</v>
      </c>
      <c r="C19" s="1">
        <f t="shared" si="5"/>
        <v>-4.333333333333333</v>
      </c>
      <c r="M19" t="s">
        <v>48</v>
      </c>
      <c r="R19" s="9">
        <v>1</v>
      </c>
      <c r="S19" s="9">
        <v>6</v>
      </c>
      <c r="T19" s="9">
        <f t="shared" si="0"/>
        <v>-4.333333333333333</v>
      </c>
      <c r="U19" s="9">
        <v>0.66666666666666696</v>
      </c>
      <c r="V19" s="9">
        <v>0</v>
      </c>
      <c r="W19" s="9">
        <f t="shared" si="1"/>
        <v>15</v>
      </c>
      <c r="X19" s="9">
        <f t="shared" si="2"/>
        <v>15</v>
      </c>
      <c r="Y19" s="9">
        <f t="shared" si="3"/>
        <v>15</v>
      </c>
      <c r="Z19" s="9">
        <f t="shared" si="4"/>
        <v>4.1602514716892181</v>
      </c>
    </row>
    <row r="20" spans="2:26" x14ac:dyDescent="0.25">
      <c r="B20" s="1">
        <v>7</v>
      </c>
      <c r="C20" s="1">
        <f t="shared" si="5"/>
        <v>-4.9999999999999991</v>
      </c>
      <c r="M20" s="23" t="s">
        <v>47</v>
      </c>
      <c r="R20" s="9">
        <v>1</v>
      </c>
      <c r="S20" s="9">
        <v>7</v>
      </c>
      <c r="T20" s="9">
        <f t="shared" si="0"/>
        <v>-4.9999999999999991</v>
      </c>
      <c r="U20" s="9">
        <v>24</v>
      </c>
      <c r="V20" s="9">
        <v>0</v>
      </c>
      <c r="W20" s="9">
        <f t="shared" si="1"/>
        <v>87</v>
      </c>
      <c r="X20" s="9">
        <f t="shared" si="2"/>
        <v>87</v>
      </c>
      <c r="Y20" s="9">
        <f t="shared" si="3"/>
        <v>87</v>
      </c>
      <c r="Z20" s="9">
        <f t="shared" si="4"/>
        <v>24.129458535797465</v>
      </c>
    </row>
    <row r="21" spans="2:26" x14ac:dyDescent="0.25">
      <c r="B21" s="1">
        <v>8</v>
      </c>
      <c r="C21" s="1">
        <f t="shared" si="5"/>
        <v>-5.6666666666666661</v>
      </c>
      <c r="M21" t="s">
        <v>55</v>
      </c>
      <c r="R21" s="9">
        <v>1</v>
      </c>
      <c r="S21" s="9">
        <v>8</v>
      </c>
      <c r="T21" s="9">
        <f t="shared" si="0"/>
        <v>-5.6666666666666661</v>
      </c>
      <c r="U21" s="9">
        <v>19.333333333333336</v>
      </c>
      <c r="V21" s="9">
        <v>0</v>
      </c>
      <c r="W21" s="9">
        <f t="shared" si="1"/>
        <v>75</v>
      </c>
      <c r="X21" s="9">
        <f t="shared" si="2"/>
        <v>75</v>
      </c>
      <c r="Y21" s="9">
        <f t="shared" si="3"/>
        <v>75</v>
      </c>
      <c r="Z21" s="9">
        <f t="shared" si="4"/>
        <v>20.80125735844609</v>
      </c>
    </row>
    <row r="22" spans="2:26" x14ac:dyDescent="0.25">
      <c r="B22" s="1">
        <v>9</v>
      </c>
      <c r="C22" s="1">
        <f t="shared" si="5"/>
        <v>-6.333333333333333</v>
      </c>
      <c r="M22" s="23" t="s">
        <v>49</v>
      </c>
      <c r="R22" s="9">
        <v>1</v>
      </c>
      <c r="S22" s="9">
        <v>9</v>
      </c>
      <c r="T22" s="9">
        <f t="shared" si="0"/>
        <v>-6.333333333333333</v>
      </c>
      <c r="U22" s="9">
        <v>17.666666666666668</v>
      </c>
      <c r="V22" s="9">
        <v>0</v>
      </c>
      <c r="W22" s="9">
        <f t="shared" si="1"/>
        <v>72</v>
      </c>
      <c r="X22" s="9">
        <f t="shared" si="2"/>
        <v>72</v>
      </c>
      <c r="Y22" s="9">
        <f t="shared" si="3"/>
        <v>72</v>
      </c>
      <c r="Z22" s="9">
        <f t="shared" si="4"/>
        <v>19.969207064108247</v>
      </c>
    </row>
    <row r="23" spans="2:26" x14ac:dyDescent="0.25">
      <c r="B23" s="1">
        <v>10</v>
      </c>
      <c r="C23" s="1">
        <f t="shared" si="5"/>
        <v>-6.9999999999999991</v>
      </c>
      <c r="M23" t="s">
        <v>54</v>
      </c>
      <c r="R23" s="9">
        <v>1</v>
      </c>
      <c r="S23" s="9">
        <v>10</v>
      </c>
      <c r="T23" s="9">
        <f t="shared" si="0"/>
        <v>-6.9999999999999991</v>
      </c>
      <c r="U23" s="9">
        <v>3.0000000000000009</v>
      </c>
      <c r="V23" s="9">
        <v>0</v>
      </c>
      <c r="W23" s="9">
        <f t="shared" si="1"/>
        <v>30.000000000000004</v>
      </c>
      <c r="X23" s="9">
        <f t="shared" si="2"/>
        <v>30.000000000000004</v>
      </c>
      <c r="Y23" s="9">
        <f t="shared" si="3"/>
        <v>30.000000000000004</v>
      </c>
      <c r="Z23" s="9">
        <f t="shared" si="4"/>
        <v>8.3205029433784379</v>
      </c>
    </row>
    <row r="24" spans="2:26" x14ac:dyDescent="0.25">
      <c r="M24" s="23" t="s">
        <v>50</v>
      </c>
      <c r="R24" s="10">
        <v>-1</v>
      </c>
      <c r="S24" s="10">
        <v>-10</v>
      </c>
      <c r="T24" s="10">
        <f t="shared" si="0"/>
        <v>6.333333333333333</v>
      </c>
      <c r="U24" s="10">
        <v>-15.666666666666668</v>
      </c>
      <c r="V24" s="9">
        <v>0</v>
      </c>
      <c r="W24" s="10">
        <f t="shared" si="1"/>
        <v>-66</v>
      </c>
      <c r="X24" s="10">
        <f t="shared" si="2"/>
        <v>66</v>
      </c>
      <c r="Y24" s="9">
        <f t="shared" si="3"/>
        <v>66</v>
      </c>
      <c r="Z24" s="10">
        <f t="shared" si="4"/>
        <v>18.305106475432563</v>
      </c>
    </row>
    <row r="25" spans="2:26" ht="16.5" x14ac:dyDescent="0.3">
      <c r="E25" s="4" t="s">
        <v>2</v>
      </c>
      <c r="F25" s="4" t="s">
        <v>3</v>
      </c>
      <c r="G25" s="4" t="s">
        <v>4</v>
      </c>
      <c r="M25" t="s">
        <v>53</v>
      </c>
      <c r="R25" s="10">
        <v>-1</v>
      </c>
      <c r="S25" s="10">
        <v>-9</v>
      </c>
      <c r="T25" s="10">
        <f t="shared" si="0"/>
        <v>5.666666666666667</v>
      </c>
      <c r="U25" s="10">
        <v>-24.333333333333332</v>
      </c>
      <c r="V25" s="9">
        <v>0</v>
      </c>
      <c r="W25" s="10">
        <f t="shared" si="1"/>
        <v>-90</v>
      </c>
      <c r="X25" s="10">
        <f t="shared" si="2"/>
        <v>90</v>
      </c>
      <c r="Y25" s="9">
        <f t="shared" si="3"/>
        <v>90</v>
      </c>
      <c r="Z25" s="10">
        <f t="shared" si="4"/>
        <v>24.961508830135312</v>
      </c>
    </row>
    <row r="26" spans="2:26" x14ac:dyDescent="0.25">
      <c r="E26" s="5" t="s">
        <v>1</v>
      </c>
      <c r="F26" s="5" t="s">
        <v>0</v>
      </c>
      <c r="G26" s="5">
        <v>-1</v>
      </c>
      <c r="M26" s="23" t="s">
        <v>51</v>
      </c>
      <c r="R26" s="10">
        <v>-1</v>
      </c>
      <c r="S26" s="10">
        <v>-8</v>
      </c>
      <c r="T26" s="10">
        <f t="shared" si="0"/>
        <v>5</v>
      </c>
      <c r="U26" s="10">
        <v>-2</v>
      </c>
      <c r="V26" s="9">
        <v>0</v>
      </c>
      <c r="W26" s="10">
        <f t="shared" si="1"/>
        <v>-21</v>
      </c>
      <c r="X26" s="10">
        <f t="shared" si="2"/>
        <v>21</v>
      </c>
      <c r="Y26" s="9">
        <f t="shared" si="3"/>
        <v>21</v>
      </c>
      <c r="Z26" s="10">
        <f t="shared" si="4"/>
        <v>5.8243520603649053</v>
      </c>
    </row>
    <row r="27" spans="2:26" x14ac:dyDescent="0.25">
      <c r="E27" s="2">
        <f>F6</f>
        <v>-0.33333333333333331</v>
      </c>
      <c r="F27" s="2">
        <f>F5</f>
        <v>-0.66666666666666663</v>
      </c>
      <c r="G27" s="2">
        <v>-1</v>
      </c>
      <c r="H27" t="s">
        <v>15</v>
      </c>
      <c r="M27" t="s">
        <v>52</v>
      </c>
      <c r="R27" s="10">
        <v>-1</v>
      </c>
      <c r="S27" s="10">
        <v>-7</v>
      </c>
      <c r="T27" s="10">
        <f t="shared" si="0"/>
        <v>4.333333333333333</v>
      </c>
      <c r="U27" s="10">
        <v>-25.666666666666668</v>
      </c>
      <c r="V27" s="9">
        <v>0</v>
      </c>
      <c r="W27" s="10">
        <f t="shared" si="1"/>
        <v>-90</v>
      </c>
      <c r="X27" s="10">
        <f t="shared" si="2"/>
        <v>90</v>
      </c>
      <c r="Y27" s="9">
        <f t="shared" si="3"/>
        <v>90</v>
      </c>
      <c r="Z27" s="10">
        <f t="shared" si="4"/>
        <v>24.961508830135312</v>
      </c>
    </row>
    <row r="28" spans="2:26" x14ac:dyDescent="0.25">
      <c r="E28" s="2">
        <f>E27*-beta2</f>
        <v>1</v>
      </c>
      <c r="F28" s="2">
        <f>F27*-beta2</f>
        <v>2</v>
      </c>
      <c r="G28" s="2">
        <f>G27*-beta2</f>
        <v>3</v>
      </c>
      <c r="H28" t="s">
        <v>16</v>
      </c>
      <c r="M28" s="23" t="s">
        <v>62</v>
      </c>
      <c r="R28" s="10">
        <v>-1</v>
      </c>
      <c r="S28" s="10">
        <v>-6</v>
      </c>
      <c r="T28" s="10">
        <f t="shared" si="0"/>
        <v>3.6666666666666665</v>
      </c>
      <c r="U28" s="10">
        <v>-9.3333333333333339</v>
      </c>
      <c r="V28" s="9">
        <v>0</v>
      </c>
      <c r="W28" s="10">
        <f t="shared" si="1"/>
        <v>-39</v>
      </c>
      <c r="X28" s="10">
        <f t="shared" si="2"/>
        <v>39</v>
      </c>
      <c r="Y28" s="9">
        <f t="shared" si="3"/>
        <v>39</v>
      </c>
      <c r="Z28" s="10">
        <f t="shared" si="4"/>
        <v>10.816653826391967</v>
      </c>
    </row>
    <row r="29" spans="2:26" x14ac:dyDescent="0.25">
      <c r="H29" t="s">
        <v>17</v>
      </c>
      <c r="M29" t="s">
        <v>56</v>
      </c>
      <c r="R29" s="10">
        <v>-1</v>
      </c>
      <c r="S29" s="10">
        <v>-5</v>
      </c>
      <c r="T29" s="10">
        <f t="shared" si="0"/>
        <v>2.9999999999999996</v>
      </c>
      <c r="U29" s="10">
        <v>-4</v>
      </c>
      <c r="V29" s="9">
        <v>0</v>
      </c>
      <c r="W29" s="10">
        <f t="shared" si="1"/>
        <v>-21</v>
      </c>
      <c r="X29" s="10">
        <f t="shared" si="2"/>
        <v>21</v>
      </c>
      <c r="Y29" s="9">
        <f t="shared" si="3"/>
        <v>21</v>
      </c>
      <c r="Z29" s="10">
        <f t="shared" si="4"/>
        <v>5.8243520603649053</v>
      </c>
    </row>
    <row r="30" spans="2:26" x14ac:dyDescent="0.25">
      <c r="M30" s="23" t="s">
        <v>57</v>
      </c>
      <c r="R30" s="10">
        <v>-1</v>
      </c>
      <c r="S30" s="10">
        <v>-4</v>
      </c>
      <c r="T30" s="10">
        <f t="shared" si="0"/>
        <v>2.333333333333333</v>
      </c>
      <c r="U30" s="10">
        <v>-16.666666666666668</v>
      </c>
      <c r="V30" s="9">
        <v>0</v>
      </c>
      <c r="W30" s="10">
        <f t="shared" si="1"/>
        <v>-57</v>
      </c>
      <c r="X30" s="10">
        <f t="shared" si="2"/>
        <v>57</v>
      </c>
      <c r="Y30" s="9">
        <f t="shared" si="3"/>
        <v>57</v>
      </c>
      <c r="Z30" s="10">
        <f t="shared" si="4"/>
        <v>15.808955592419032</v>
      </c>
    </row>
    <row r="31" spans="2:26" x14ac:dyDescent="0.25">
      <c r="R31" s="10">
        <v>-1</v>
      </c>
      <c r="S31" s="10">
        <v>-3</v>
      </c>
      <c r="T31" s="10">
        <f t="shared" si="0"/>
        <v>1.6666666666666667</v>
      </c>
      <c r="U31" s="10">
        <v>-4.333333333333333</v>
      </c>
      <c r="V31" s="9">
        <v>0</v>
      </c>
      <c r="W31" s="10">
        <f t="shared" si="1"/>
        <v>-18</v>
      </c>
      <c r="X31" s="10">
        <f t="shared" si="2"/>
        <v>18</v>
      </c>
      <c r="Y31" s="9">
        <f t="shared" si="3"/>
        <v>18</v>
      </c>
      <c r="Z31" s="10">
        <f t="shared" si="4"/>
        <v>4.9923017660270617</v>
      </c>
    </row>
    <row r="32" spans="2:26" x14ac:dyDescent="0.25">
      <c r="C32" t="s">
        <v>9</v>
      </c>
      <c r="R32" s="10">
        <v>-1</v>
      </c>
      <c r="S32" s="10">
        <v>-2</v>
      </c>
      <c r="T32" s="10">
        <f t="shared" si="0"/>
        <v>1</v>
      </c>
      <c r="U32" s="10">
        <v>-28</v>
      </c>
      <c r="V32" s="9">
        <v>0</v>
      </c>
      <c r="W32" s="10">
        <f t="shared" si="1"/>
        <v>-87</v>
      </c>
      <c r="X32" s="10">
        <f t="shared" si="2"/>
        <v>87</v>
      </c>
      <c r="Y32" s="9">
        <f t="shared" si="3"/>
        <v>87</v>
      </c>
      <c r="Z32" s="10">
        <f t="shared" si="4"/>
        <v>24.129458535797465</v>
      </c>
    </row>
    <row r="33" spans="18:26" x14ac:dyDescent="0.25">
      <c r="R33" s="10">
        <v>-1</v>
      </c>
      <c r="S33" s="10">
        <v>-1</v>
      </c>
      <c r="T33" s="10">
        <f t="shared" si="0"/>
        <v>0.33333333333333331</v>
      </c>
      <c r="U33" s="10">
        <v>-22.666666666666668</v>
      </c>
      <c r="V33" s="9">
        <v>0</v>
      </c>
      <c r="W33" s="10">
        <f t="shared" si="1"/>
        <v>-69</v>
      </c>
      <c r="X33" s="10">
        <f t="shared" si="2"/>
        <v>69</v>
      </c>
      <c r="Y33" s="9">
        <f t="shared" si="3"/>
        <v>69</v>
      </c>
      <c r="Z33" s="10">
        <f t="shared" si="4"/>
        <v>19.137156769770407</v>
      </c>
    </row>
    <row r="34" spans="18:26" x14ac:dyDescent="0.25">
      <c r="R34" s="10">
        <v>-1</v>
      </c>
      <c r="S34" s="10">
        <v>0</v>
      </c>
      <c r="T34" s="10">
        <f t="shared" si="0"/>
        <v>-0.33333333333333331</v>
      </c>
      <c r="U34" s="10">
        <v>-12.333333333333334</v>
      </c>
      <c r="V34" s="9">
        <v>0</v>
      </c>
      <c r="W34" s="10">
        <f t="shared" si="1"/>
        <v>-36</v>
      </c>
      <c r="X34" s="10">
        <f t="shared" si="2"/>
        <v>36</v>
      </c>
      <c r="Y34" s="9">
        <f t="shared" si="3"/>
        <v>36</v>
      </c>
      <c r="Z34" s="10">
        <f t="shared" si="4"/>
        <v>9.9846035320541233</v>
      </c>
    </row>
    <row r="35" spans="18:26" x14ac:dyDescent="0.25">
      <c r="R35" s="10">
        <v>-1</v>
      </c>
      <c r="S35" s="10">
        <v>1</v>
      </c>
      <c r="T35" s="10">
        <f t="shared" si="0"/>
        <v>-1</v>
      </c>
      <c r="U35" s="10">
        <v>-15</v>
      </c>
      <c r="V35" s="9">
        <v>0</v>
      </c>
      <c r="W35" s="10">
        <f t="shared" si="1"/>
        <v>-42</v>
      </c>
      <c r="X35" s="10">
        <f t="shared" si="2"/>
        <v>42</v>
      </c>
      <c r="Y35" s="9">
        <f t="shared" si="3"/>
        <v>42</v>
      </c>
      <c r="Z35" s="10">
        <f t="shared" si="4"/>
        <v>11.648704120729811</v>
      </c>
    </row>
    <row r="36" spans="18:26" x14ac:dyDescent="0.25">
      <c r="R36" s="10">
        <v>-1</v>
      </c>
      <c r="S36" s="10">
        <v>2</v>
      </c>
      <c r="T36" s="10">
        <f t="shared" si="0"/>
        <v>-1.6666666666666665</v>
      </c>
      <c r="U36" s="10">
        <v>-17.666666666666668</v>
      </c>
      <c r="V36" s="9">
        <v>0</v>
      </c>
      <c r="W36" s="10">
        <f t="shared" si="1"/>
        <v>-48</v>
      </c>
      <c r="X36" s="10">
        <f t="shared" si="2"/>
        <v>48</v>
      </c>
      <c r="Y36" s="9">
        <f t="shared" si="3"/>
        <v>48</v>
      </c>
      <c r="Z36" s="10">
        <f t="shared" si="4"/>
        <v>13.312804709405501</v>
      </c>
    </row>
    <row r="37" spans="18:26" x14ac:dyDescent="0.25">
      <c r="R37" s="10">
        <v>-1</v>
      </c>
      <c r="S37" s="10">
        <v>3</v>
      </c>
      <c r="T37" s="10">
        <f t="shared" si="0"/>
        <v>-2.3333333333333335</v>
      </c>
      <c r="U37" s="10">
        <v>-13.333333333333334</v>
      </c>
      <c r="V37" s="9">
        <v>0</v>
      </c>
      <c r="W37" s="10">
        <f t="shared" si="1"/>
        <v>-33</v>
      </c>
      <c r="X37" s="10">
        <f t="shared" si="2"/>
        <v>33</v>
      </c>
      <c r="Y37" s="9">
        <f t="shared" si="3"/>
        <v>33</v>
      </c>
      <c r="Z37" s="10">
        <f t="shared" si="4"/>
        <v>9.1525532377162797</v>
      </c>
    </row>
    <row r="38" spans="18:26" x14ac:dyDescent="0.25">
      <c r="R38" s="10">
        <v>-1</v>
      </c>
      <c r="S38" s="10">
        <v>4</v>
      </c>
      <c r="T38" s="10">
        <f t="shared" si="0"/>
        <v>-3</v>
      </c>
      <c r="U38" s="10">
        <v>-22</v>
      </c>
      <c r="V38" s="9">
        <v>0</v>
      </c>
      <c r="W38" s="10">
        <f t="shared" si="1"/>
        <v>-57</v>
      </c>
      <c r="X38" s="10">
        <f t="shared" si="2"/>
        <v>57</v>
      </c>
      <c r="Y38" s="9">
        <f t="shared" si="3"/>
        <v>57</v>
      </c>
      <c r="Z38" s="10">
        <f t="shared" si="4"/>
        <v>15.80895559241903</v>
      </c>
    </row>
    <row r="39" spans="18:26" x14ac:dyDescent="0.25">
      <c r="R39" s="10">
        <v>-1</v>
      </c>
      <c r="S39" s="10">
        <v>5</v>
      </c>
      <c r="T39" s="10">
        <f t="shared" si="0"/>
        <v>-3.6666666666666665</v>
      </c>
      <c r="U39" s="10">
        <v>-23.666666666666668</v>
      </c>
      <c r="V39" s="9">
        <v>0</v>
      </c>
      <c r="W39" s="10">
        <f t="shared" si="1"/>
        <v>-60</v>
      </c>
      <c r="X39" s="10">
        <f t="shared" si="2"/>
        <v>60</v>
      </c>
      <c r="Y39" s="9">
        <f t="shared" si="3"/>
        <v>60</v>
      </c>
      <c r="Z39" s="10">
        <f t="shared" si="4"/>
        <v>16.641005886756876</v>
      </c>
    </row>
    <row r="40" spans="18:26" x14ac:dyDescent="0.25">
      <c r="R40" s="10">
        <v>-1</v>
      </c>
      <c r="S40" s="10">
        <v>6</v>
      </c>
      <c r="T40" s="10">
        <f t="shared" si="0"/>
        <v>-4.333333333333333</v>
      </c>
      <c r="U40" s="10">
        <v>-28.333333333333332</v>
      </c>
      <c r="V40" s="9">
        <v>0</v>
      </c>
      <c r="W40" s="10">
        <f t="shared" si="1"/>
        <v>-72</v>
      </c>
      <c r="X40" s="10">
        <f t="shared" si="2"/>
        <v>72</v>
      </c>
      <c r="Y40" s="9">
        <f t="shared" si="3"/>
        <v>72</v>
      </c>
      <c r="Z40" s="10">
        <f t="shared" si="4"/>
        <v>19.969207064108247</v>
      </c>
    </row>
    <row r="41" spans="18:26" x14ac:dyDescent="0.25">
      <c r="R41" s="10">
        <v>-1</v>
      </c>
      <c r="S41" s="10">
        <v>7</v>
      </c>
      <c r="T41" s="10">
        <f t="shared" si="0"/>
        <v>-4.9999999999999991</v>
      </c>
      <c r="U41" s="10">
        <v>-27</v>
      </c>
      <c r="V41" s="9">
        <v>0</v>
      </c>
      <c r="W41" s="10">
        <f t="shared" si="1"/>
        <v>-66</v>
      </c>
      <c r="X41" s="10">
        <f t="shared" si="2"/>
        <v>66</v>
      </c>
      <c r="Y41" s="9">
        <f t="shared" si="3"/>
        <v>66</v>
      </c>
      <c r="Z41" s="10">
        <f t="shared" si="4"/>
        <v>18.305106475432563</v>
      </c>
    </row>
    <row r="42" spans="18:26" x14ac:dyDescent="0.25">
      <c r="R42" s="10">
        <v>-1</v>
      </c>
      <c r="S42" s="10">
        <v>8</v>
      </c>
      <c r="T42" s="10">
        <f t="shared" si="0"/>
        <v>-5.6666666666666661</v>
      </c>
      <c r="U42" s="10">
        <v>-35.666666666666664</v>
      </c>
      <c r="V42" s="9">
        <v>0</v>
      </c>
      <c r="W42" s="10">
        <f t="shared" si="1"/>
        <v>-90</v>
      </c>
      <c r="X42" s="10">
        <f t="shared" si="2"/>
        <v>90</v>
      </c>
      <c r="Y42" s="9">
        <f t="shared" si="3"/>
        <v>90</v>
      </c>
      <c r="Z42" s="10">
        <f t="shared" si="4"/>
        <v>24.961508830135312</v>
      </c>
    </row>
    <row r="43" spans="18:26" x14ac:dyDescent="0.25">
      <c r="R43" s="10">
        <v>-1</v>
      </c>
      <c r="S43" s="10">
        <v>9</v>
      </c>
      <c r="T43" s="10">
        <f t="shared" si="0"/>
        <v>-6.333333333333333</v>
      </c>
      <c r="U43" s="10">
        <v>-36.333333333333336</v>
      </c>
      <c r="V43" s="9">
        <v>0</v>
      </c>
      <c r="W43" s="10">
        <f t="shared" si="1"/>
        <v>-90</v>
      </c>
      <c r="X43" s="10">
        <f t="shared" si="2"/>
        <v>90</v>
      </c>
      <c r="Y43" s="9">
        <f t="shared" si="3"/>
        <v>90</v>
      </c>
      <c r="Z43" s="10">
        <f t="shared" si="4"/>
        <v>24.961508830135312</v>
      </c>
    </row>
    <row r="44" spans="18:26" x14ac:dyDescent="0.25">
      <c r="R44" s="10">
        <v>-1</v>
      </c>
      <c r="S44" s="10">
        <v>10</v>
      </c>
      <c r="T44" s="10">
        <f t="shared" si="0"/>
        <v>-6.9999999999999991</v>
      </c>
      <c r="U44" s="10">
        <v>-14</v>
      </c>
      <c r="V44" s="9">
        <v>0</v>
      </c>
      <c r="W44" s="10">
        <f t="shared" si="1"/>
        <v>-21</v>
      </c>
      <c r="X44" s="10">
        <f t="shared" si="2"/>
        <v>21</v>
      </c>
      <c r="Y44" s="9">
        <f t="shared" si="3"/>
        <v>21</v>
      </c>
      <c r="Z44" s="10">
        <f t="shared" si="4"/>
        <v>5.8243520603649062</v>
      </c>
    </row>
    <row r="50" spans="3:16" x14ac:dyDescent="0.25">
      <c r="C50" s="14" t="s">
        <v>22</v>
      </c>
      <c r="E50" s="31" t="s">
        <v>22</v>
      </c>
      <c r="F50" s="31"/>
      <c r="G50" s="31"/>
      <c r="K50" s="32" t="s">
        <v>37</v>
      </c>
      <c r="L50" s="32"/>
      <c r="M50" s="32"/>
      <c r="O50" s="32" t="s">
        <v>40</v>
      </c>
      <c r="P50" s="32"/>
    </row>
    <row r="51" spans="3:16" ht="18" x14ac:dyDescent="0.35">
      <c r="C51" s="11">
        <v>35.333333333333336</v>
      </c>
      <c r="E51" s="2">
        <v>-5</v>
      </c>
      <c r="F51" s="2">
        <v>8</v>
      </c>
      <c r="G51" s="2">
        <v>1</v>
      </c>
      <c r="H51" t="s">
        <v>18</v>
      </c>
      <c r="K51" s="3" t="s">
        <v>5</v>
      </c>
      <c r="L51" s="3" t="s">
        <v>6</v>
      </c>
      <c r="M51" s="3" t="s">
        <v>6</v>
      </c>
      <c r="O51" s="16" t="s">
        <v>38</v>
      </c>
      <c r="P51" s="16" t="s">
        <v>39</v>
      </c>
    </row>
    <row r="52" spans="3:16" x14ac:dyDescent="0.25">
      <c r="C52" s="12">
        <v>31.666666666666668</v>
      </c>
      <c r="E52" s="2">
        <v>0</v>
      </c>
      <c r="F52" s="2">
        <f>SQRT(0.5)</f>
        <v>0.70710678118654757</v>
      </c>
      <c r="G52" s="2">
        <f>SQRT(0.5)</f>
        <v>0.70710678118654757</v>
      </c>
      <c r="H52" t="s">
        <v>19</v>
      </c>
      <c r="K52" s="1">
        <v>-10</v>
      </c>
      <c r="L52">
        <f>slope*$K52+O$52</f>
        <v>-11.694423043986612</v>
      </c>
      <c r="M52">
        <f>slope*$K52+P$52</f>
        <v>24.361089710653282</v>
      </c>
      <c r="O52" s="17">
        <f>intercept-AB3*SQRT(slope^2+1)</f>
        <v>-18.361089710653278</v>
      </c>
      <c r="P52" s="17">
        <f>intercept+AB3*SQRT(slope^2+1)</f>
        <v>17.694423043986614</v>
      </c>
    </row>
    <row r="53" spans="3:16" x14ac:dyDescent="0.25">
      <c r="C53" s="12">
        <v>26</v>
      </c>
      <c r="H53" t="s">
        <v>20</v>
      </c>
      <c r="K53" s="1">
        <v>-9</v>
      </c>
      <c r="L53">
        <f t="shared" ref="L53:L72" si="6">slope*K53+O$52</f>
        <v>-12.361089710653278</v>
      </c>
      <c r="M53">
        <f t="shared" ref="M53:M72" si="7">slope*$K53+P$52</f>
        <v>23.694423043986614</v>
      </c>
    </row>
    <row r="54" spans="3:16" x14ac:dyDescent="0.25">
      <c r="C54" s="12">
        <v>31.333333333333332</v>
      </c>
      <c r="K54" s="1">
        <v>-8</v>
      </c>
      <c r="L54">
        <f t="shared" si="6"/>
        <v>-13.027756377319946</v>
      </c>
      <c r="M54">
        <f t="shared" si="7"/>
        <v>23.027756377319946</v>
      </c>
    </row>
    <row r="55" spans="3:16" x14ac:dyDescent="0.25">
      <c r="C55" s="12">
        <v>31.666666666666668</v>
      </c>
      <c r="K55" s="1">
        <v>-7</v>
      </c>
      <c r="L55">
        <f t="shared" si="6"/>
        <v>-13.694423043986612</v>
      </c>
      <c r="M55">
        <f t="shared" si="7"/>
        <v>22.361089710653282</v>
      </c>
    </row>
    <row r="56" spans="3:16" x14ac:dyDescent="0.25">
      <c r="C56" s="12">
        <v>17</v>
      </c>
      <c r="K56" s="1">
        <v>-6</v>
      </c>
      <c r="L56">
        <f t="shared" si="6"/>
        <v>-14.361089710653278</v>
      </c>
      <c r="M56">
        <f t="shared" si="7"/>
        <v>21.694423043986614</v>
      </c>
    </row>
    <row r="57" spans="3:16" x14ac:dyDescent="0.25">
      <c r="C57" s="12">
        <v>31.333333333333332</v>
      </c>
      <c r="K57" s="1">
        <v>-5</v>
      </c>
      <c r="L57">
        <f t="shared" si="6"/>
        <v>-15.027756377319946</v>
      </c>
      <c r="M57">
        <f t="shared" si="7"/>
        <v>21.027756377319946</v>
      </c>
    </row>
    <row r="58" spans="3:16" x14ac:dyDescent="0.25">
      <c r="C58" s="12">
        <v>10.666666666666666</v>
      </c>
      <c r="K58" s="1">
        <v>-4</v>
      </c>
      <c r="L58">
        <f t="shared" si="6"/>
        <v>-15.694423043986612</v>
      </c>
      <c r="M58">
        <f t="shared" si="7"/>
        <v>20.361089710653282</v>
      </c>
    </row>
    <row r="59" spans="3:16" x14ac:dyDescent="0.25">
      <c r="C59" s="12">
        <v>27</v>
      </c>
      <c r="K59" s="1">
        <v>-3</v>
      </c>
      <c r="L59">
        <f t="shared" si="6"/>
        <v>-16.361089710653278</v>
      </c>
      <c r="M59">
        <f t="shared" si="7"/>
        <v>19.694423043986614</v>
      </c>
    </row>
    <row r="60" spans="3:16" x14ac:dyDescent="0.25">
      <c r="C60" s="12">
        <v>28.333333333333332</v>
      </c>
      <c r="K60" s="1">
        <v>-2</v>
      </c>
      <c r="L60">
        <f t="shared" si="6"/>
        <v>-17.027756377319946</v>
      </c>
      <c r="M60">
        <f t="shared" si="7"/>
        <v>19.027756377319946</v>
      </c>
    </row>
    <row r="61" spans="3:16" x14ac:dyDescent="0.25">
      <c r="C61" s="12">
        <v>28.666666666666668</v>
      </c>
      <c r="K61" s="1">
        <v>-1</v>
      </c>
      <c r="L61">
        <f t="shared" si="6"/>
        <v>-17.69442304398661</v>
      </c>
      <c r="M61">
        <f t="shared" si="7"/>
        <v>18.361089710653282</v>
      </c>
    </row>
    <row r="62" spans="3:16" x14ac:dyDescent="0.25">
      <c r="C62" s="12">
        <v>19</v>
      </c>
      <c r="K62" s="1">
        <v>0</v>
      </c>
      <c r="L62">
        <f t="shared" si="6"/>
        <v>-18.361089710653278</v>
      </c>
      <c r="M62">
        <f t="shared" si="7"/>
        <v>17.694423043986614</v>
      </c>
    </row>
    <row r="63" spans="3:16" x14ac:dyDescent="0.25">
      <c r="C63" s="12">
        <v>23.333333333333332</v>
      </c>
      <c r="K63" s="1">
        <v>1</v>
      </c>
      <c r="L63">
        <f t="shared" si="6"/>
        <v>-19.027756377319946</v>
      </c>
      <c r="M63">
        <f t="shared" si="7"/>
        <v>17.027756377319946</v>
      </c>
    </row>
    <row r="64" spans="3:16" x14ac:dyDescent="0.25">
      <c r="C64" s="12">
        <v>10.666666666666666</v>
      </c>
      <c r="K64" s="1">
        <v>2</v>
      </c>
      <c r="L64">
        <f t="shared" si="6"/>
        <v>-19.69442304398661</v>
      </c>
      <c r="M64">
        <f t="shared" si="7"/>
        <v>16.361089710653282</v>
      </c>
    </row>
    <row r="65" spans="3:13" x14ac:dyDescent="0.25">
      <c r="C65" s="12">
        <v>3</v>
      </c>
      <c r="K65" s="1">
        <v>3</v>
      </c>
      <c r="L65">
        <f t="shared" si="6"/>
        <v>-20.361089710653278</v>
      </c>
      <c r="M65">
        <f t="shared" si="7"/>
        <v>15.694423043986614</v>
      </c>
    </row>
    <row r="66" spans="3:13" x14ac:dyDescent="0.25">
      <c r="C66" s="12">
        <v>20.333333333333332</v>
      </c>
      <c r="K66" s="1">
        <v>4</v>
      </c>
      <c r="L66">
        <f t="shared" si="6"/>
        <v>-21.027756377319946</v>
      </c>
      <c r="M66">
        <f t="shared" si="7"/>
        <v>15.027756377319948</v>
      </c>
    </row>
    <row r="67" spans="3:13" x14ac:dyDescent="0.25">
      <c r="C67" s="12">
        <v>0.66666666666666696</v>
      </c>
      <c r="K67" s="1">
        <v>5</v>
      </c>
      <c r="L67">
        <f t="shared" si="6"/>
        <v>-21.69442304398661</v>
      </c>
      <c r="M67">
        <f t="shared" si="7"/>
        <v>14.361089710653282</v>
      </c>
    </row>
    <row r="68" spans="3:13" x14ac:dyDescent="0.25">
      <c r="C68" s="12">
        <v>24</v>
      </c>
      <c r="K68" s="1">
        <v>6</v>
      </c>
      <c r="L68">
        <f t="shared" si="6"/>
        <v>-22.361089710653278</v>
      </c>
      <c r="M68">
        <f t="shared" si="7"/>
        <v>13.694423043986614</v>
      </c>
    </row>
    <row r="69" spans="3:13" x14ac:dyDescent="0.25">
      <c r="C69" s="12">
        <v>19.333333333333336</v>
      </c>
      <c r="K69" s="1">
        <v>7</v>
      </c>
      <c r="L69">
        <f t="shared" si="6"/>
        <v>-23.027756377319946</v>
      </c>
      <c r="M69">
        <f t="shared" si="7"/>
        <v>13.027756377319948</v>
      </c>
    </row>
    <row r="70" spans="3:13" x14ac:dyDescent="0.25">
      <c r="C70" s="12">
        <v>17.666666666666668</v>
      </c>
      <c r="K70" s="1">
        <v>8</v>
      </c>
      <c r="L70">
        <f t="shared" si="6"/>
        <v>-23.69442304398661</v>
      </c>
      <c r="M70">
        <f t="shared" si="7"/>
        <v>12.361089710653282</v>
      </c>
    </row>
    <row r="71" spans="3:13" x14ac:dyDescent="0.25">
      <c r="C71" s="12">
        <v>3.0000000000000009</v>
      </c>
      <c r="K71" s="1">
        <v>9</v>
      </c>
      <c r="L71">
        <f t="shared" si="6"/>
        <v>-24.361089710653278</v>
      </c>
      <c r="M71">
        <f t="shared" si="7"/>
        <v>11.694423043986614</v>
      </c>
    </row>
    <row r="72" spans="3:13" x14ac:dyDescent="0.25">
      <c r="C72" s="12">
        <v>-15.666666666666668</v>
      </c>
      <c r="K72" s="1">
        <v>10</v>
      </c>
      <c r="L72">
        <f t="shared" si="6"/>
        <v>-25.027756377319946</v>
      </c>
      <c r="M72">
        <f t="shared" si="7"/>
        <v>11.027756377319948</v>
      </c>
    </row>
    <row r="73" spans="3:13" x14ac:dyDescent="0.25">
      <c r="C73" s="12">
        <v>-24.333333333333332</v>
      </c>
    </row>
    <row r="74" spans="3:13" x14ac:dyDescent="0.25">
      <c r="C74" s="12">
        <v>-2</v>
      </c>
    </row>
    <row r="75" spans="3:13" x14ac:dyDescent="0.25">
      <c r="C75" s="12">
        <v>-25.666666666666668</v>
      </c>
    </row>
    <row r="76" spans="3:13" x14ac:dyDescent="0.25">
      <c r="C76" s="12">
        <v>-9.3333333333333339</v>
      </c>
    </row>
    <row r="77" spans="3:13" x14ac:dyDescent="0.25">
      <c r="C77" s="12">
        <v>-4</v>
      </c>
    </row>
    <row r="78" spans="3:13" x14ac:dyDescent="0.25">
      <c r="C78" s="12">
        <v>-16.666666666666668</v>
      </c>
    </row>
    <row r="79" spans="3:13" x14ac:dyDescent="0.25">
      <c r="C79" s="12">
        <v>-4.333333333333333</v>
      </c>
    </row>
    <row r="80" spans="3:13" x14ac:dyDescent="0.25">
      <c r="C80" s="12">
        <v>-28</v>
      </c>
    </row>
    <row r="81" spans="3:3" x14ac:dyDescent="0.25">
      <c r="C81" s="12">
        <v>-22.666666666666668</v>
      </c>
    </row>
    <row r="82" spans="3:3" x14ac:dyDescent="0.25">
      <c r="C82" s="12">
        <v>-12.333333333333334</v>
      </c>
    </row>
    <row r="83" spans="3:3" x14ac:dyDescent="0.25">
      <c r="C83" s="12">
        <v>-15</v>
      </c>
    </row>
    <row r="84" spans="3:3" x14ac:dyDescent="0.25">
      <c r="C84" s="12">
        <v>-17.666666666666668</v>
      </c>
    </row>
    <row r="85" spans="3:3" x14ac:dyDescent="0.25">
      <c r="C85" s="12">
        <v>-13.333333333333334</v>
      </c>
    </row>
    <row r="86" spans="3:3" x14ac:dyDescent="0.25">
      <c r="C86" s="12">
        <v>-22</v>
      </c>
    </row>
    <row r="87" spans="3:3" x14ac:dyDescent="0.25">
      <c r="C87" s="12">
        <v>-23.666666666666668</v>
      </c>
    </row>
    <row r="88" spans="3:3" x14ac:dyDescent="0.25">
      <c r="C88" s="12">
        <v>-28.333333333333332</v>
      </c>
    </row>
    <row r="89" spans="3:3" x14ac:dyDescent="0.25">
      <c r="C89" s="12">
        <v>-27</v>
      </c>
    </row>
    <row r="90" spans="3:3" x14ac:dyDescent="0.25">
      <c r="C90" s="12">
        <v>-35.666666666666664</v>
      </c>
    </row>
    <row r="91" spans="3:3" x14ac:dyDescent="0.25">
      <c r="C91" s="12">
        <v>-36.333333333333336</v>
      </c>
    </row>
    <row r="92" spans="3:3" x14ac:dyDescent="0.25">
      <c r="C92" s="13">
        <v>-14</v>
      </c>
    </row>
  </sheetData>
  <mergeCells count="4">
    <mergeCell ref="B1:C1"/>
    <mergeCell ref="E50:G50"/>
    <mergeCell ref="K50:M50"/>
    <mergeCell ref="O50:P50"/>
  </mergeCells>
  <conditionalFormatting sqref="S3:V4 S7:V44">
    <cfRule type="expression" dxfId="1" priority="1">
      <formula>AND($X3&lt;0,showLine)</formula>
    </cfRule>
  </conditionalFormatting>
  <conditionalFormatting sqref="S5:V6">
    <cfRule type="expression" dxfId="0" priority="4">
      <formula>AND($X5&lt;0,showLine)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8" r:id="rId3" name="btnResetSVConditions">
          <controlPr defaultSize="0" autoLine="0" r:id="rId4">
            <anchor moveWithCells="1">
              <from>
                <xdr:col>11</xdr:col>
                <xdr:colOff>542925</xdr:colOff>
                <xdr:row>30</xdr:row>
                <xdr:rowOff>9525</xdr:rowOff>
              </from>
              <to>
                <xdr:col>14</xdr:col>
                <xdr:colOff>285750</xdr:colOff>
                <xdr:row>32</xdr:row>
                <xdr:rowOff>171450</xdr:rowOff>
              </to>
            </anchor>
          </controlPr>
        </control>
      </mc:Choice>
      <mc:Fallback>
        <control shapeId="5128" r:id="rId3" name="btnResetSVConditions"/>
      </mc:Fallback>
    </mc:AlternateContent>
    <mc:AlternateContent xmlns:mc="http://schemas.openxmlformats.org/markup-compatibility/2006">
      <mc:Choice Requires="x14">
        <control shapeId="5121" r:id="rId5" name="btnNewValues">
          <controlPr defaultSize="0" autoLine="0" r:id="rId6">
            <anchor moveWithCells="1">
              <from>
                <xdr:col>20</xdr:col>
                <xdr:colOff>285750</xdr:colOff>
                <xdr:row>0</xdr:row>
                <xdr:rowOff>28575</xdr:rowOff>
              </from>
              <to>
                <xdr:col>21</xdr:col>
                <xdr:colOff>123825</xdr:colOff>
                <xdr:row>1</xdr:row>
                <xdr:rowOff>95250</xdr:rowOff>
              </to>
            </anchor>
          </controlPr>
        </control>
      </mc:Choice>
      <mc:Fallback>
        <control shapeId="5121" r:id="rId5" name="btnNewValues"/>
      </mc:Fallback>
    </mc:AlternateContent>
    <mc:AlternateContent xmlns:mc="http://schemas.openxmlformats.org/markup-compatibility/2006">
      <mc:Choice Requires="x14">
        <control shapeId="5122" r:id="rId7" name="btnSolve">
          <controlPr defaultSize="0" autoLine="0" r:id="rId8">
            <anchor moveWithCells="1">
              <from>
                <xdr:col>7</xdr:col>
                <xdr:colOff>76200</xdr:colOff>
                <xdr:row>0</xdr:row>
                <xdr:rowOff>180975</xdr:rowOff>
              </from>
              <to>
                <xdr:col>7</xdr:col>
                <xdr:colOff>581025</xdr:colOff>
                <xdr:row>2</xdr:row>
                <xdr:rowOff>57150</xdr:rowOff>
              </to>
            </anchor>
          </controlPr>
        </control>
      </mc:Choice>
      <mc:Fallback>
        <control shapeId="5122" r:id="rId7" name="btnSolve"/>
      </mc:Fallback>
    </mc:AlternateContent>
    <mc:AlternateContent xmlns:mc="http://schemas.openxmlformats.org/markup-compatibility/2006">
      <mc:Choice Requires="x14">
        <control shapeId="5123" r:id="rId9" name="chkShowLine">
          <controlPr defaultSize="0" autoLine="0" linkedCell="showLine" r:id="rId10">
            <anchor moveWithCells="1">
              <from>
                <xdr:col>7</xdr:col>
                <xdr:colOff>76200</xdr:colOff>
                <xdr:row>3</xdr:row>
                <xdr:rowOff>38100</xdr:rowOff>
              </from>
              <to>
                <xdr:col>8</xdr:col>
                <xdr:colOff>419100</xdr:colOff>
                <xdr:row>4</xdr:row>
                <xdr:rowOff>85725</xdr:rowOff>
              </to>
            </anchor>
          </controlPr>
        </control>
      </mc:Choice>
      <mc:Fallback>
        <control shapeId="5123" r:id="rId9" name="chkShowLine"/>
      </mc:Fallback>
    </mc:AlternateContent>
    <mc:AlternateContent xmlns:mc="http://schemas.openxmlformats.org/markup-compatibility/2006">
      <mc:Choice Requires="x14">
        <control shapeId="5124" r:id="rId11" name="chkShowPoints">
          <controlPr defaultSize="0" autoLine="0" linkedCell="showPoints" r:id="rId12">
            <anchor moveWithCells="1">
              <from>
                <xdr:col>7</xdr:col>
                <xdr:colOff>66675</xdr:colOff>
                <xdr:row>4</xdr:row>
                <xdr:rowOff>57150</xdr:rowOff>
              </from>
              <to>
                <xdr:col>8</xdr:col>
                <xdr:colOff>409575</xdr:colOff>
                <xdr:row>5</xdr:row>
                <xdr:rowOff>104775</xdr:rowOff>
              </to>
            </anchor>
          </controlPr>
        </control>
      </mc:Choice>
      <mc:Fallback>
        <control shapeId="5124" r:id="rId11" name="chkShowPoints"/>
      </mc:Fallback>
    </mc:AlternateContent>
    <mc:AlternateContent xmlns:mc="http://schemas.openxmlformats.org/markup-compatibility/2006">
      <mc:Choice Requires="x14">
        <control shapeId="5125" r:id="rId13" name="btnInitialize">
          <controlPr defaultSize="0" autoLine="0" r:id="rId14">
            <anchor moveWithCells="1">
              <from>
                <xdr:col>4</xdr:col>
                <xdr:colOff>19050</xdr:colOff>
                <xdr:row>0</xdr:row>
                <xdr:rowOff>28575</xdr:rowOff>
              </from>
              <to>
                <xdr:col>4</xdr:col>
                <xdr:colOff>657225</xdr:colOff>
                <xdr:row>1</xdr:row>
                <xdr:rowOff>19050</xdr:rowOff>
              </to>
            </anchor>
          </controlPr>
        </control>
      </mc:Choice>
      <mc:Fallback>
        <control shapeId="5125" r:id="rId13" name="btnInitialize"/>
      </mc:Fallback>
    </mc:AlternateContent>
    <mc:AlternateContent xmlns:mc="http://schemas.openxmlformats.org/markup-compatibility/2006">
      <mc:Choice Requires="x14">
        <control shapeId="5126" r:id="rId15" name="btnResetX2s">
          <controlPr defaultSize="0" autoLine="0" r:id="rId16">
            <anchor moveWithCells="1">
              <from>
                <xdr:col>18</xdr:col>
                <xdr:colOff>438150</xdr:colOff>
                <xdr:row>0</xdr:row>
                <xdr:rowOff>28575</xdr:rowOff>
              </from>
              <to>
                <xdr:col>20</xdr:col>
                <xdr:colOff>276225</xdr:colOff>
                <xdr:row>1</xdr:row>
                <xdr:rowOff>95250</xdr:rowOff>
              </to>
            </anchor>
          </controlPr>
        </control>
      </mc:Choice>
      <mc:Fallback>
        <control shapeId="5126" r:id="rId15" name="btnResetX2s"/>
      </mc:Fallback>
    </mc:AlternateContent>
    <mc:AlternateContent xmlns:mc="http://schemas.openxmlformats.org/markup-compatibility/2006">
      <mc:Choice Requires="x14">
        <control shapeId="5127" r:id="rId17" name="chkShowMargins">
          <controlPr defaultSize="0" autoLine="0" linkedCell="showMargins" r:id="rId18">
            <anchor moveWithCells="1">
              <from>
                <xdr:col>7</xdr:col>
                <xdr:colOff>57150</xdr:colOff>
                <xdr:row>5</xdr:row>
                <xdr:rowOff>76200</xdr:rowOff>
              </from>
              <to>
                <xdr:col>8</xdr:col>
                <xdr:colOff>647700</xdr:colOff>
                <xdr:row>6</xdr:row>
                <xdr:rowOff>123825</xdr:rowOff>
              </to>
            </anchor>
          </controlPr>
        </control>
      </mc:Choice>
      <mc:Fallback>
        <control shapeId="5127" r:id="rId17" name="chkShowMargin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E203"/>
  <sheetViews>
    <sheetView showGridLines="0" workbookViewId="0">
      <selection activeCell="H30" sqref="H30"/>
    </sheetView>
  </sheetViews>
  <sheetFormatPr defaultRowHeight="15" x14ac:dyDescent="0.25"/>
  <sheetData>
    <row r="2" spans="3:5" x14ac:dyDescent="0.25">
      <c r="C2" s="2" t="s">
        <v>59</v>
      </c>
      <c r="D2" s="2" t="s">
        <v>60</v>
      </c>
      <c r="E2" s="2" t="s">
        <v>61</v>
      </c>
    </row>
    <row r="3" spans="3:5" x14ac:dyDescent="0.25">
      <c r="C3" s="24">
        <v>0</v>
      </c>
      <c r="D3" s="24">
        <f t="shared" ref="D3:D34" si="0">1/(1-C3)</f>
        <v>1</v>
      </c>
      <c r="E3" s="25"/>
    </row>
    <row r="4" spans="3:5" x14ac:dyDescent="0.25">
      <c r="C4" s="26">
        <v>0.01</v>
      </c>
      <c r="D4" s="26">
        <f t="shared" si="0"/>
        <v>1.0101010101010102</v>
      </c>
      <c r="E4" s="27"/>
    </row>
    <row r="5" spans="3:5" x14ac:dyDescent="0.25">
      <c r="C5" s="26">
        <v>0.02</v>
      </c>
      <c r="D5" s="26">
        <f t="shared" si="0"/>
        <v>1.0204081632653061</v>
      </c>
      <c r="E5" s="27"/>
    </row>
    <row r="6" spans="3:5" x14ac:dyDescent="0.25">
      <c r="C6" s="26">
        <v>0.03</v>
      </c>
      <c r="D6" s="26">
        <f t="shared" si="0"/>
        <v>1.0309278350515465</v>
      </c>
      <c r="E6" s="27"/>
    </row>
    <row r="7" spans="3:5" x14ac:dyDescent="0.25">
      <c r="C7" s="26">
        <v>0.04</v>
      </c>
      <c r="D7" s="26">
        <f t="shared" si="0"/>
        <v>1.0416666666666667</v>
      </c>
      <c r="E7" s="27"/>
    </row>
    <row r="8" spans="3:5" x14ac:dyDescent="0.25">
      <c r="C8" s="26">
        <v>0.05</v>
      </c>
      <c r="D8" s="26">
        <f t="shared" si="0"/>
        <v>1.0526315789473684</v>
      </c>
      <c r="E8" s="27"/>
    </row>
    <row r="9" spans="3:5" x14ac:dyDescent="0.25">
      <c r="C9" s="26">
        <v>0.06</v>
      </c>
      <c r="D9" s="26">
        <f t="shared" si="0"/>
        <v>1.0638297872340425</v>
      </c>
      <c r="E9" s="27"/>
    </row>
    <row r="10" spans="3:5" x14ac:dyDescent="0.25">
      <c r="C10" s="26">
        <v>7.0000000000000007E-2</v>
      </c>
      <c r="D10" s="26">
        <f t="shared" si="0"/>
        <v>1.0752688172043012</v>
      </c>
      <c r="E10" s="27"/>
    </row>
    <row r="11" spans="3:5" x14ac:dyDescent="0.25">
      <c r="C11" s="26">
        <v>0.08</v>
      </c>
      <c r="D11" s="26">
        <f t="shared" si="0"/>
        <v>1.0869565217391304</v>
      </c>
      <c r="E11" s="27"/>
    </row>
    <row r="12" spans="3:5" x14ac:dyDescent="0.25">
      <c r="C12" s="26">
        <v>0.09</v>
      </c>
      <c r="D12" s="26">
        <f t="shared" si="0"/>
        <v>1.0989010989010988</v>
      </c>
      <c r="E12" s="27"/>
    </row>
    <row r="13" spans="3:5" x14ac:dyDescent="0.25">
      <c r="C13" s="26">
        <v>0.1</v>
      </c>
      <c r="D13" s="26">
        <f t="shared" si="0"/>
        <v>1.1111111111111112</v>
      </c>
      <c r="E13" s="27"/>
    </row>
    <row r="14" spans="3:5" x14ac:dyDescent="0.25">
      <c r="C14" s="26">
        <v>0.11</v>
      </c>
      <c r="D14" s="26">
        <f t="shared" si="0"/>
        <v>1.1235955056179776</v>
      </c>
      <c r="E14" s="27"/>
    </row>
    <row r="15" spans="3:5" x14ac:dyDescent="0.25">
      <c r="C15" s="26">
        <v>0.12</v>
      </c>
      <c r="D15" s="26">
        <f t="shared" si="0"/>
        <v>1.1363636363636365</v>
      </c>
      <c r="E15" s="27"/>
    </row>
    <row r="16" spans="3:5" x14ac:dyDescent="0.25">
      <c r="C16" s="26">
        <v>0.13</v>
      </c>
      <c r="D16" s="26">
        <f t="shared" si="0"/>
        <v>1.1494252873563218</v>
      </c>
      <c r="E16" s="27"/>
    </row>
    <row r="17" spans="3:5" x14ac:dyDescent="0.25">
      <c r="C17" s="26">
        <v>0.14000000000000001</v>
      </c>
      <c r="D17" s="26">
        <f t="shared" si="0"/>
        <v>1.1627906976744187</v>
      </c>
      <c r="E17" s="27"/>
    </row>
    <row r="18" spans="3:5" x14ac:dyDescent="0.25">
      <c r="C18" s="26">
        <v>0.15</v>
      </c>
      <c r="D18" s="26">
        <f t="shared" si="0"/>
        <v>1.1764705882352942</v>
      </c>
      <c r="E18" s="27"/>
    </row>
    <row r="19" spans="3:5" x14ac:dyDescent="0.25">
      <c r="C19" s="26">
        <v>0.16</v>
      </c>
      <c r="D19" s="26">
        <f t="shared" si="0"/>
        <v>1.1904761904761905</v>
      </c>
      <c r="E19" s="27"/>
    </row>
    <row r="20" spans="3:5" x14ac:dyDescent="0.25">
      <c r="C20" s="26">
        <v>0.17</v>
      </c>
      <c r="D20" s="26">
        <f t="shared" si="0"/>
        <v>1.2048192771084338</v>
      </c>
      <c r="E20" s="27"/>
    </row>
    <row r="21" spans="3:5" x14ac:dyDescent="0.25">
      <c r="C21" s="26">
        <v>0.18</v>
      </c>
      <c r="D21" s="26">
        <f t="shared" si="0"/>
        <v>1.2195121951219512</v>
      </c>
      <c r="E21" s="27"/>
    </row>
    <row r="22" spans="3:5" x14ac:dyDescent="0.25">
      <c r="C22" s="26">
        <v>0.19</v>
      </c>
      <c r="D22" s="26">
        <f t="shared" si="0"/>
        <v>1.2345679012345678</v>
      </c>
      <c r="E22" s="27"/>
    </row>
    <row r="23" spans="3:5" x14ac:dyDescent="0.25">
      <c r="C23" s="26">
        <v>0.2</v>
      </c>
      <c r="D23" s="26">
        <f t="shared" si="0"/>
        <v>1.25</v>
      </c>
      <c r="E23" s="27"/>
    </row>
    <row r="24" spans="3:5" x14ac:dyDescent="0.25">
      <c r="C24" s="26">
        <v>0.21</v>
      </c>
      <c r="D24" s="26">
        <f t="shared" si="0"/>
        <v>1.2658227848101264</v>
      </c>
      <c r="E24" s="27"/>
    </row>
    <row r="25" spans="3:5" x14ac:dyDescent="0.25">
      <c r="C25" s="26">
        <v>0.22</v>
      </c>
      <c r="D25" s="26">
        <f t="shared" si="0"/>
        <v>1.2820512820512819</v>
      </c>
      <c r="E25" s="27"/>
    </row>
    <row r="26" spans="3:5" x14ac:dyDescent="0.25">
      <c r="C26" s="26">
        <v>0.23</v>
      </c>
      <c r="D26" s="26">
        <f t="shared" si="0"/>
        <v>1.2987012987012987</v>
      </c>
      <c r="E26" s="27"/>
    </row>
    <row r="27" spans="3:5" x14ac:dyDescent="0.25">
      <c r="C27" s="26">
        <v>0.24</v>
      </c>
      <c r="D27" s="26">
        <f t="shared" si="0"/>
        <v>1.3157894736842106</v>
      </c>
      <c r="E27" s="27"/>
    </row>
    <row r="28" spans="3:5" x14ac:dyDescent="0.25">
      <c r="C28" s="26">
        <v>0.25</v>
      </c>
      <c r="D28" s="26">
        <f t="shared" si="0"/>
        <v>1.3333333333333333</v>
      </c>
      <c r="E28" s="27"/>
    </row>
    <row r="29" spans="3:5" x14ac:dyDescent="0.25">
      <c r="C29" s="26">
        <v>0.26</v>
      </c>
      <c r="D29" s="26">
        <f t="shared" si="0"/>
        <v>1.3513513513513513</v>
      </c>
      <c r="E29" s="27"/>
    </row>
    <row r="30" spans="3:5" x14ac:dyDescent="0.25">
      <c r="C30" s="26">
        <v>0.27</v>
      </c>
      <c r="D30" s="26">
        <f t="shared" si="0"/>
        <v>1.3698630136986301</v>
      </c>
      <c r="E30" s="27"/>
    </row>
    <row r="31" spans="3:5" x14ac:dyDescent="0.25">
      <c r="C31" s="26">
        <v>0.28000000000000003</v>
      </c>
      <c r="D31" s="26">
        <f t="shared" si="0"/>
        <v>1.3888888888888888</v>
      </c>
      <c r="E31" s="27"/>
    </row>
    <row r="32" spans="3:5" x14ac:dyDescent="0.25">
      <c r="C32" s="26">
        <v>0.28999999999999998</v>
      </c>
      <c r="D32" s="26">
        <f t="shared" si="0"/>
        <v>1.4084507042253522</v>
      </c>
      <c r="E32" s="27"/>
    </row>
    <row r="33" spans="3:5" x14ac:dyDescent="0.25">
      <c r="C33" s="26">
        <v>0.3</v>
      </c>
      <c r="D33" s="26">
        <f t="shared" si="0"/>
        <v>1.4285714285714286</v>
      </c>
      <c r="E33" s="27"/>
    </row>
    <row r="34" spans="3:5" x14ac:dyDescent="0.25">
      <c r="C34" s="26">
        <v>0.31</v>
      </c>
      <c r="D34" s="26">
        <f t="shared" si="0"/>
        <v>1.4492753623188408</v>
      </c>
      <c r="E34" s="27"/>
    </row>
    <row r="35" spans="3:5" x14ac:dyDescent="0.25">
      <c r="C35" s="26">
        <v>0.32</v>
      </c>
      <c r="D35" s="26">
        <f t="shared" ref="D35:D66" si="1">1/(1-C35)</f>
        <v>1.4705882352941178</v>
      </c>
      <c r="E35" s="27"/>
    </row>
    <row r="36" spans="3:5" x14ac:dyDescent="0.25">
      <c r="C36" s="26">
        <v>0.33</v>
      </c>
      <c r="D36" s="26">
        <f t="shared" si="1"/>
        <v>1.4925373134328359</v>
      </c>
      <c r="E36" s="27"/>
    </row>
    <row r="37" spans="3:5" x14ac:dyDescent="0.25">
      <c r="C37" s="26">
        <v>0.34</v>
      </c>
      <c r="D37" s="26">
        <f t="shared" si="1"/>
        <v>1.5151515151515154</v>
      </c>
      <c r="E37" s="27"/>
    </row>
    <row r="38" spans="3:5" x14ac:dyDescent="0.25">
      <c r="C38" s="26">
        <v>0.35</v>
      </c>
      <c r="D38" s="26">
        <f t="shared" si="1"/>
        <v>1.5384615384615383</v>
      </c>
      <c r="E38" s="27"/>
    </row>
    <row r="39" spans="3:5" x14ac:dyDescent="0.25">
      <c r="C39" s="26">
        <v>0.36</v>
      </c>
      <c r="D39" s="26">
        <f t="shared" si="1"/>
        <v>1.5625</v>
      </c>
      <c r="E39" s="27"/>
    </row>
    <row r="40" spans="3:5" x14ac:dyDescent="0.25">
      <c r="C40" s="26">
        <v>0.37</v>
      </c>
      <c r="D40" s="26">
        <f t="shared" si="1"/>
        <v>1.5873015873015872</v>
      </c>
      <c r="E40" s="27"/>
    </row>
    <row r="41" spans="3:5" x14ac:dyDescent="0.25">
      <c r="C41" s="26">
        <v>0.38</v>
      </c>
      <c r="D41" s="26">
        <f t="shared" si="1"/>
        <v>1.6129032258064517</v>
      </c>
      <c r="E41" s="27"/>
    </row>
    <row r="42" spans="3:5" x14ac:dyDescent="0.25">
      <c r="C42" s="26">
        <v>0.39</v>
      </c>
      <c r="D42" s="26">
        <f t="shared" si="1"/>
        <v>1.639344262295082</v>
      </c>
      <c r="E42" s="27"/>
    </row>
    <row r="43" spans="3:5" x14ac:dyDescent="0.25">
      <c r="C43" s="26">
        <v>0.4</v>
      </c>
      <c r="D43" s="26">
        <f t="shared" si="1"/>
        <v>1.6666666666666667</v>
      </c>
      <c r="E43" s="27"/>
    </row>
    <row r="44" spans="3:5" x14ac:dyDescent="0.25">
      <c r="C44" s="26">
        <v>0.41</v>
      </c>
      <c r="D44" s="26">
        <f t="shared" si="1"/>
        <v>1.6949152542372878</v>
      </c>
      <c r="E44" s="27"/>
    </row>
    <row r="45" spans="3:5" x14ac:dyDescent="0.25">
      <c r="C45" s="26">
        <v>0.42</v>
      </c>
      <c r="D45" s="26">
        <f t="shared" si="1"/>
        <v>1.7241379310344827</v>
      </c>
      <c r="E45" s="27"/>
    </row>
    <row r="46" spans="3:5" x14ac:dyDescent="0.25">
      <c r="C46" s="26">
        <v>0.43</v>
      </c>
      <c r="D46" s="26">
        <f t="shared" si="1"/>
        <v>1.7543859649122806</v>
      </c>
      <c r="E46" s="27"/>
    </row>
    <row r="47" spans="3:5" x14ac:dyDescent="0.25">
      <c r="C47" s="26">
        <v>0.44</v>
      </c>
      <c r="D47" s="26">
        <f t="shared" si="1"/>
        <v>1.7857142857142856</v>
      </c>
      <c r="E47" s="27"/>
    </row>
    <row r="48" spans="3:5" x14ac:dyDescent="0.25">
      <c r="C48" s="26">
        <v>0.45</v>
      </c>
      <c r="D48" s="26">
        <f t="shared" si="1"/>
        <v>1.8181818181818181</v>
      </c>
      <c r="E48" s="27"/>
    </row>
    <row r="49" spans="3:5" x14ac:dyDescent="0.25">
      <c r="C49" s="26">
        <v>0.46</v>
      </c>
      <c r="D49" s="26">
        <f t="shared" si="1"/>
        <v>1.8518518518518516</v>
      </c>
      <c r="E49" s="27"/>
    </row>
    <row r="50" spans="3:5" x14ac:dyDescent="0.25">
      <c r="C50" s="26">
        <v>0.47</v>
      </c>
      <c r="D50" s="26">
        <f t="shared" si="1"/>
        <v>1.8867924528301885</v>
      </c>
      <c r="E50" s="27"/>
    </row>
    <row r="51" spans="3:5" x14ac:dyDescent="0.25">
      <c r="C51" s="26">
        <v>0.48</v>
      </c>
      <c r="D51" s="26">
        <f t="shared" si="1"/>
        <v>1.9230769230769229</v>
      </c>
      <c r="E51" s="27"/>
    </row>
    <row r="52" spans="3:5" x14ac:dyDescent="0.25">
      <c r="C52" s="26">
        <v>0.49</v>
      </c>
      <c r="D52" s="26">
        <f t="shared" si="1"/>
        <v>1.9607843137254901</v>
      </c>
      <c r="E52" s="27"/>
    </row>
    <row r="53" spans="3:5" x14ac:dyDescent="0.25">
      <c r="C53" s="26">
        <v>0.5</v>
      </c>
      <c r="D53" s="26">
        <f t="shared" si="1"/>
        <v>2</v>
      </c>
      <c r="E53" s="27"/>
    </row>
    <row r="54" spans="3:5" x14ac:dyDescent="0.25">
      <c r="C54" s="26">
        <v>0.51</v>
      </c>
      <c r="D54" s="26">
        <f t="shared" si="1"/>
        <v>2.0408163265306123</v>
      </c>
      <c r="E54" s="27"/>
    </row>
    <row r="55" spans="3:5" x14ac:dyDescent="0.25">
      <c r="C55" s="26">
        <v>0.52</v>
      </c>
      <c r="D55" s="26">
        <f t="shared" si="1"/>
        <v>2.0833333333333335</v>
      </c>
      <c r="E55" s="27"/>
    </row>
    <row r="56" spans="3:5" x14ac:dyDescent="0.25">
      <c r="C56" s="26">
        <v>0.53</v>
      </c>
      <c r="D56" s="26">
        <f t="shared" si="1"/>
        <v>2.1276595744680851</v>
      </c>
      <c r="E56" s="27"/>
    </row>
    <row r="57" spans="3:5" x14ac:dyDescent="0.25">
      <c r="C57" s="26">
        <v>0.54</v>
      </c>
      <c r="D57" s="26">
        <f t="shared" si="1"/>
        <v>2.1739130434782612</v>
      </c>
      <c r="E57" s="27"/>
    </row>
    <row r="58" spans="3:5" x14ac:dyDescent="0.25">
      <c r="C58" s="26">
        <v>0.55000000000000004</v>
      </c>
      <c r="D58" s="26">
        <f t="shared" si="1"/>
        <v>2.2222222222222223</v>
      </c>
      <c r="E58" s="27"/>
    </row>
    <row r="59" spans="3:5" x14ac:dyDescent="0.25">
      <c r="C59" s="26">
        <v>0.56000000000000005</v>
      </c>
      <c r="D59" s="26">
        <f t="shared" si="1"/>
        <v>2.2727272727272729</v>
      </c>
      <c r="E59" s="27"/>
    </row>
    <row r="60" spans="3:5" x14ac:dyDescent="0.25">
      <c r="C60" s="26">
        <v>0.56999999999999995</v>
      </c>
      <c r="D60" s="26">
        <f t="shared" si="1"/>
        <v>2.3255813953488369</v>
      </c>
      <c r="E60" s="27"/>
    </row>
    <row r="61" spans="3:5" x14ac:dyDescent="0.25">
      <c r="C61" s="26">
        <v>0.57999999999999996</v>
      </c>
      <c r="D61" s="26">
        <f t="shared" si="1"/>
        <v>2.3809523809523809</v>
      </c>
      <c r="E61" s="27"/>
    </row>
    <row r="62" spans="3:5" x14ac:dyDescent="0.25">
      <c r="C62" s="26">
        <v>0.59</v>
      </c>
      <c r="D62" s="26">
        <f t="shared" si="1"/>
        <v>2.4390243902439024</v>
      </c>
      <c r="E62" s="27"/>
    </row>
    <row r="63" spans="3:5" x14ac:dyDescent="0.25">
      <c r="C63" s="26">
        <v>0.6</v>
      </c>
      <c r="D63" s="26">
        <f t="shared" si="1"/>
        <v>2.5</v>
      </c>
      <c r="E63" s="27"/>
    </row>
    <row r="64" spans="3:5" x14ac:dyDescent="0.25">
      <c r="C64" s="26">
        <v>0.61</v>
      </c>
      <c r="D64" s="26">
        <f t="shared" si="1"/>
        <v>2.5641025641025639</v>
      </c>
      <c r="E64" s="27"/>
    </row>
    <row r="65" spans="3:5" x14ac:dyDescent="0.25">
      <c r="C65" s="26">
        <v>0.62</v>
      </c>
      <c r="D65" s="26">
        <f t="shared" si="1"/>
        <v>2.6315789473684212</v>
      </c>
      <c r="E65" s="27"/>
    </row>
    <row r="66" spans="3:5" x14ac:dyDescent="0.25">
      <c r="C66" s="26">
        <v>0.63</v>
      </c>
      <c r="D66" s="26">
        <f t="shared" si="1"/>
        <v>2.7027027027027026</v>
      </c>
      <c r="E66" s="27"/>
    </row>
    <row r="67" spans="3:5" x14ac:dyDescent="0.25">
      <c r="C67" s="26">
        <v>0.64</v>
      </c>
      <c r="D67" s="26">
        <f t="shared" ref="D67:D98" si="2">1/(1-C67)</f>
        <v>2.7777777777777777</v>
      </c>
      <c r="E67" s="27"/>
    </row>
    <row r="68" spans="3:5" x14ac:dyDescent="0.25">
      <c r="C68" s="26">
        <v>0.65</v>
      </c>
      <c r="D68" s="26">
        <f t="shared" si="2"/>
        <v>2.8571428571428572</v>
      </c>
      <c r="E68" s="27"/>
    </row>
    <row r="69" spans="3:5" x14ac:dyDescent="0.25">
      <c r="C69" s="26">
        <v>0.66</v>
      </c>
      <c r="D69" s="26">
        <f t="shared" si="2"/>
        <v>2.9411764705882355</v>
      </c>
      <c r="E69" s="27"/>
    </row>
    <row r="70" spans="3:5" x14ac:dyDescent="0.25">
      <c r="C70" s="26">
        <v>0.67</v>
      </c>
      <c r="D70" s="26">
        <f t="shared" si="2"/>
        <v>3.0303030303030307</v>
      </c>
      <c r="E70" s="27"/>
    </row>
    <row r="71" spans="3:5" x14ac:dyDescent="0.25">
      <c r="C71" s="26">
        <v>0.68</v>
      </c>
      <c r="D71" s="26">
        <f t="shared" si="2"/>
        <v>3.1250000000000004</v>
      </c>
      <c r="E71" s="27"/>
    </row>
    <row r="72" spans="3:5" x14ac:dyDescent="0.25">
      <c r="C72" s="26">
        <v>0.69</v>
      </c>
      <c r="D72" s="26">
        <f t="shared" si="2"/>
        <v>3.2258064516129026</v>
      </c>
      <c r="E72" s="27"/>
    </row>
    <row r="73" spans="3:5" x14ac:dyDescent="0.25">
      <c r="C73" s="26">
        <v>0.7</v>
      </c>
      <c r="D73" s="26">
        <f t="shared" si="2"/>
        <v>3.333333333333333</v>
      </c>
      <c r="E73" s="27"/>
    </row>
    <row r="74" spans="3:5" x14ac:dyDescent="0.25">
      <c r="C74" s="26">
        <v>0.71</v>
      </c>
      <c r="D74" s="26">
        <f t="shared" si="2"/>
        <v>3.4482758620689653</v>
      </c>
      <c r="E74" s="27"/>
    </row>
    <row r="75" spans="3:5" x14ac:dyDescent="0.25">
      <c r="C75" s="26">
        <v>0.72</v>
      </c>
      <c r="D75" s="26">
        <f t="shared" si="2"/>
        <v>3.5714285714285712</v>
      </c>
      <c r="E75" s="27"/>
    </row>
    <row r="76" spans="3:5" x14ac:dyDescent="0.25">
      <c r="C76" s="26">
        <v>0.73</v>
      </c>
      <c r="D76" s="26">
        <f t="shared" si="2"/>
        <v>3.7037037037037033</v>
      </c>
      <c r="E76" s="27"/>
    </row>
    <row r="77" spans="3:5" x14ac:dyDescent="0.25">
      <c r="C77" s="26">
        <v>0.74</v>
      </c>
      <c r="D77" s="26">
        <f t="shared" si="2"/>
        <v>3.8461538461538458</v>
      </c>
      <c r="E77" s="27"/>
    </row>
    <row r="78" spans="3:5" x14ac:dyDescent="0.25">
      <c r="C78" s="26">
        <v>0.75</v>
      </c>
      <c r="D78" s="26">
        <f t="shared" si="2"/>
        <v>4</v>
      </c>
      <c r="E78" s="27"/>
    </row>
    <row r="79" spans="3:5" x14ac:dyDescent="0.25">
      <c r="C79" s="26">
        <v>0.76</v>
      </c>
      <c r="D79" s="26">
        <f t="shared" si="2"/>
        <v>4.166666666666667</v>
      </c>
      <c r="E79" s="27"/>
    </row>
    <row r="80" spans="3:5" x14ac:dyDescent="0.25">
      <c r="C80" s="26">
        <v>0.77</v>
      </c>
      <c r="D80" s="26">
        <f t="shared" si="2"/>
        <v>4.3478260869565224</v>
      </c>
      <c r="E80" s="27"/>
    </row>
    <row r="81" spans="3:5" x14ac:dyDescent="0.25">
      <c r="C81" s="26">
        <v>0.78</v>
      </c>
      <c r="D81" s="26">
        <f t="shared" si="2"/>
        <v>4.5454545454545459</v>
      </c>
      <c r="E81" s="27"/>
    </row>
    <row r="82" spans="3:5" x14ac:dyDescent="0.25">
      <c r="C82" s="26">
        <v>0.79</v>
      </c>
      <c r="D82" s="26">
        <f t="shared" si="2"/>
        <v>4.7619047619047628</v>
      </c>
      <c r="E82" s="27"/>
    </row>
    <row r="83" spans="3:5" x14ac:dyDescent="0.25">
      <c r="C83" s="26">
        <v>0.8</v>
      </c>
      <c r="D83" s="26">
        <f t="shared" si="2"/>
        <v>5.0000000000000009</v>
      </c>
      <c r="E83" s="27"/>
    </row>
    <row r="84" spans="3:5" x14ac:dyDescent="0.25">
      <c r="C84" s="26">
        <v>0.81</v>
      </c>
      <c r="D84" s="26">
        <f t="shared" si="2"/>
        <v>5.2631578947368434</v>
      </c>
      <c r="E84" s="27"/>
    </row>
    <row r="85" spans="3:5" x14ac:dyDescent="0.25">
      <c r="C85" s="26">
        <v>0.82</v>
      </c>
      <c r="D85" s="26">
        <f t="shared" si="2"/>
        <v>5.5555555555555545</v>
      </c>
      <c r="E85" s="27"/>
    </row>
    <row r="86" spans="3:5" x14ac:dyDescent="0.25">
      <c r="C86" s="26">
        <v>0.83</v>
      </c>
      <c r="D86" s="26">
        <f t="shared" si="2"/>
        <v>5.8823529411764692</v>
      </c>
      <c r="E86" s="27"/>
    </row>
    <row r="87" spans="3:5" x14ac:dyDescent="0.25">
      <c r="C87" s="26">
        <v>0.84</v>
      </c>
      <c r="D87" s="26">
        <f t="shared" si="2"/>
        <v>6.2499999999999991</v>
      </c>
      <c r="E87" s="27"/>
    </row>
    <row r="88" spans="3:5" x14ac:dyDescent="0.25">
      <c r="C88" s="26">
        <v>0.85</v>
      </c>
      <c r="D88" s="26">
        <f t="shared" si="2"/>
        <v>6.6666666666666661</v>
      </c>
      <c r="E88" s="27"/>
    </row>
    <row r="89" spans="3:5" x14ac:dyDescent="0.25">
      <c r="C89" s="26">
        <v>0.86</v>
      </c>
      <c r="D89" s="26">
        <f t="shared" si="2"/>
        <v>7.1428571428571423</v>
      </c>
      <c r="E89" s="27"/>
    </row>
    <row r="90" spans="3:5" x14ac:dyDescent="0.25">
      <c r="C90" s="26">
        <v>0.87</v>
      </c>
      <c r="D90" s="26">
        <f t="shared" si="2"/>
        <v>7.6923076923076916</v>
      </c>
      <c r="E90" s="27"/>
    </row>
    <row r="91" spans="3:5" x14ac:dyDescent="0.25">
      <c r="C91" s="26">
        <v>0.88</v>
      </c>
      <c r="D91" s="26">
        <f t="shared" si="2"/>
        <v>8.3333333333333339</v>
      </c>
      <c r="E91" s="27"/>
    </row>
    <row r="92" spans="3:5" x14ac:dyDescent="0.25">
      <c r="C92" s="26">
        <v>0.89</v>
      </c>
      <c r="D92" s="26">
        <f t="shared" si="2"/>
        <v>9.0909090909090917</v>
      </c>
      <c r="E92" s="27"/>
    </row>
    <row r="93" spans="3:5" x14ac:dyDescent="0.25">
      <c r="C93" s="26">
        <v>0.9</v>
      </c>
      <c r="D93" s="26">
        <f t="shared" si="2"/>
        <v>10.000000000000002</v>
      </c>
      <c r="E93" s="27"/>
    </row>
    <row r="94" spans="3:5" x14ac:dyDescent="0.25">
      <c r="C94" s="26">
        <v>0.91</v>
      </c>
      <c r="D94" s="26">
        <f t="shared" si="2"/>
        <v>11.111111111111114</v>
      </c>
      <c r="E94" s="27"/>
    </row>
    <row r="95" spans="3:5" x14ac:dyDescent="0.25">
      <c r="C95" s="26">
        <v>0.92</v>
      </c>
      <c r="D95" s="26">
        <f t="shared" si="2"/>
        <v>12.500000000000007</v>
      </c>
      <c r="E95" s="27"/>
    </row>
    <row r="96" spans="3:5" x14ac:dyDescent="0.25">
      <c r="C96" s="26">
        <v>0.93</v>
      </c>
      <c r="D96" s="26">
        <f t="shared" si="2"/>
        <v>14.285714285714295</v>
      </c>
      <c r="E96" s="27"/>
    </row>
    <row r="97" spans="3:5" x14ac:dyDescent="0.25">
      <c r="C97" s="26">
        <v>0.94</v>
      </c>
      <c r="D97" s="26">
        <f t="shared" si="2"/>
        <v>16.66666666666665</v>
      </c>
      <c r="E97" s="27"/>
    </row>
    <row r="98" spans="3:5" x14ac:dyDescent="0.25">
      <c r="C98" s="26">
        <v>0.95</v>
      </c>
      <c r="D98" s="26">
        <f t="shared" si="2"/>
        <v>19.999999999999982</v>
      </c>
      <c r="E98" s="27"/>
    </row>
    <row r="99" spans="3:5" x14ac:dyDescent="0.25">
      <c r="C99" s="26">
        <v>0.96</v>
      </c>
      <c r="D99" s="26">
        <f t="shared" ref="D99:D102" si="3">1/(1-C99)</f>
        <v>24.999999999999979</v>
      </c>
      <c r="E99" s="27"/>
    </row>
    <row r="100" spans="3:5" x14ac:dyDescent="0.25">
      <c r="C100" s="26">
        <v>0.97</v>
      </c>
      <c r="D100" s="26">
        <f t="shared" si="3"/>
        <v>33.3333333333333</v>
      </c>
      <c r="E100" s="27"/>
    </row>
    <row r="101" spans="3:5" x14ac:dyDescent="0.25">
      <c r="C101" s="26">
        <v>0.98</v>
      </c>
      <c r="D101" s="26">
        <f t="shared" si="3"/>
        <v>49.999999999999957</v>
      </c>
      <c r="E101" s="27"/>
    </row>
    <row r="102" spans="3:5" x14ac:dyDescent="0.25">
      <c r="C102" s="26">
        <v>0.99</v>
      </c>
      <c r="D102" s="26">
        <f t="shared" si="3"/>
        <v>99.999999999999915</v>
      </c>
      <c r="E102" s="27"/>
    </row>
    <row r="103" spans="3:5" x14ac:dyDescent="0.25">
      <c r="C103" s="26">
        <v>1</v>
      </c>
      <c r="D103" s="26"/>
      <c r="E103" s="26"/>
    </row>
    <row r="104" spans="3:5" x14ac:dyDescent="0.25">
      <c r="C104" s="26">
        <v>1.01</v>
      </c>
      <c r="D104" s="27"/>
      <c r="E104" s="26">
        <f>1/(1-C104)</f>
        <v>-99.999999999999915</v>
      </c>
    </row>
    <row r="105" spans="3:5" x14ac:dyDescent="0.25">
      <c r="C105" s="26">
        <v>1.02</v>
      </c>
      <c r="D105" s="27"/>
      <c r="E105" s="26">
        <f t="shared" ref="E105:E168" si="4">1/(1-C105)</f>
        <v>-49.999999999999957</v>
      </c>
    </row>
    <row r="106" spans="3:5" x14ac:dyDescent="0.25">
      <c r="C106" s="26">
        <v>1.03</v>
      </c>
      <c r="D106" s="27"/>
      <c r="E106" s="26">
        <f t="shared" si="4"/>
        <v>-33.3333333333333</v>
      </c>
    </row>
    <row r="107" spans="3:5" x14ac:dyDescent="0.25">
      <c r="C107" s="26">
        <v>1.04</v>
      </c>
      <c r="D107" s="27"/>
      <c r="E107" s="26">
        <f t="shared" si="4"/>
        <v>-24.999999999999979</v>
      </c>
    </row>
    <row r="108" spans="3:5" x14ac:dyDescent="0.25">
      <c r="C108" s="26">
        <v>1.05</v>
      </c>
      <c r="D108" s="27"/>
      <c r="E108" s="26">
        <f t="shared" si="4"/>
        <v>-19.999999999999982</v>
      </c>
    </row>
    <row r="109" spans="3:5" x14ac:dyDescent="0.25">
      <c r="C109" s="26">
        <v>1.06</v>
      </c>
      <c r="D109" s="27"/>
      <c r="E109" s="26">
        <f t="shared" si="4"/>
        <v>-16.66666666666665</v>
      </c>
    </row>
    <row r="110" spans="3:5" x14ac:dyDescent="0.25">
      <c r="C110" s="26">
        <v>1.07</v>
      </c>
      <c r="D110" s="27"/>
      <c r="E110" s="26">
        <f t="shared" si="4"/>
        <v>-14.285714285714272</v>
      </c>
    </row>
    <row r="111" spans="3:5" x14ac:dyDescent="0.25">
      <c r="C111" s="26">
        <v>1.08</v>
      </c>
      <c r="D111" s="27"/>
      <c r="E111" s="26">
        <f t="shared" si="4"/>
        <v>-12.499999999999989</v>
      </c>
    </row>
    <row r="112" spans="3:5" x14ac:dyDescent="0.25">
      <c r="C112" s="26">
        <v>1.0900000000000001</v>
      </c>
      <c r="D112" s="27"/>
      <c r="E112" s="26">
        <f t="shared" si="4"/>
        <v>-11.111111111111102</v>
      </c>
    </row>
    <row r="113" spans="3:5" x14ac:dyDescent="0.25">
      <c r="C113" s="26">
        <v>1.1000000000000001</v>
      </c>
      <c r="D113" s="27"/>
      <c r="E113" s="26">
        <f t="shared" si="4"/>
        <v>-9.9999999999999911</v>
      </c>
    </row>
    <row r="114" spans="3:5" x14ac:dyDescent="0.25">
      <c r="C114" s="26">
        <v>1.1100000000000001</v>
      </c>
      <c r="D114" s="27"/>
      <c r="E114" s="26">
        <f t="shared" si="4"/>
        <v>-9.0909090909090828</v>
      </c>
    </row>
    <row r="115" spans="3:5" x14ac:dyDescent="0.25">
      <c r="C115" s="26">
        <v>1.1200000000000001</v>
      </c>
      <c r="D115" s="27"/>
      <c r="E115" s="26">
        <f t="shared" si="4"/>
        <v>-8.333333333333325</v>
      </c>
    </row>
    <row r="116" spans="3:5" x14ac:dyDescent="0.25">
      <c r="C116" s="26">
        <v>1.1299999999999999</v>
      </c>
      <c r="D116" s="27"/>
      <c r="E116" s="26">
        <f t="shared" si="4"/>
        <v>-7.6923076923076987</v>
      </c>
    </row>
    <row r="117" spans="3:5" x14ac:dyDescent="0.25">
      <c r="C117" s="26">
        <v>1.1399999999999999</v>
      </c>
      <c r="D117" s="27"/>
      <c r="E117" s="26">
        <f t="shared" si="4"/>
        <v>-7.1428571428571477</v>
      </c>
    </row>
    <row r="118" spans="3:5" x14ac:dyDescent="0.25">
      <c r="C118" s="26">
        <v>1.1499999999999999</v>
      </c>
      <c r="D118" s="27"/>
      <c r="E118" s="26">
        <f t="shared" si="4"/>
        <v>-6.6666666666666705</v>
      </c>
    </row>
    <row r="119" spans="3:5" x14ac:dyDescent="0.25">
      <c r="C119" s="26">
        <v>1.1599999999999999</v>
      </c>
      <c r="D119" s="27"/>
      <c r="E119" s="26">
        <f t="shared" si="4"/>
        <v>-6.2500000000000036</v>
      </c>
    </row>
    <row r="120" spans="3:5" x14ac:dyDescent="0.25">
      <c r="C120" s="26">
        <v>1.17</v>
      </c>
      <c r="D120" s="27"/>
      <c r="E120" s="26">
        <f t="shared" si="4"/>
        <v>-5.8823529411764728</v>
      </c>
    </row>
    <row r="121" spans="3:5" x14ac:dyDescent="0.25">
      <c r="C121" s="26">
        <v>1.18</v>
      </c>
      <c r="D121" s="27"/>
      <c r="E121" s="26">
        <f t="shared" si="4"/>
        <v>-5.5555555555555571</v>
      </c>
    </row>
    <row r="122" spans="3:5" x14ac:dyDescent="0.25">
      <c r="C122" s="26">
        <v>1.19</v>
      </c>
      <c r="D122" s="27"/>
      <c r="E122" s="26">
        <f t="shared" si="4"/>
        <v>-5.2631578947368434</v>
      </c>
    </row>
    <row r="123" spans="3:5" x14ac:dyDescent="0.25">
      <c r="C123" s="26">
        <v>1.2</v>
      </c>
      <c r="D123" s="27"/>
      <c r="E123" s="26">
        <f t="shared" si="4"/>
        <v>-5.0000000000000009</v>
      </c>
    </row>
    <row r="124" spans="3:5" x14ac:dyDescent="0.25">
      <c r="C124" s="26">
        <v>1.21</v>
      </c>
      <c r="D124" s="27"/>
      <c r="E124" s="26">
        <f t="shared" si="4"/>
        <v>-4.7619047619047628</v>
      </c>
    </row>
    <row r="125" spans="3:5" x14ac:dyDescent="0.25">
      <c r="C125" s="26">
        <v>1.22</v>
      </c>
      <c r="D125" s="27"/>
      <c r="E125" s="26">
        <f t="shared" si="4"/>
        <v>-4.5454545454545459</v>
      </c>
    </row>
    <row r="126" spans="3:5" x14ac:dyDescent="0.25">
      <c r="C126" s="26">
        <v>1.23</v>
      </c>
      <c r="D126" s="27"/>
      <c r="E126" s="26">
        <f t="shared" si="4"/>
        <v>-4.3478260869565224</v>
      </c>
    </row>
    <row r="127" spans="3:5" x14ac:dyDescent="0.25">
      <c r="C127" s="26">
        <v>1.24</v>
      </c>
      <c r="D127" s="27"/>
      <c r="E127" s="26">
        <f t="shared" si="4"/>
        <v>-4.166666666666667</v>
      </c>
    </row>
    <row r="128" spans="3:5" x14ac:dyDescent="0.25">
      <c r="C128" s="26">
        <v>1.25</v>
      </c>
      <c r="D128" s="27"/>
      <c r="E128" s="26">
        <f t="shared" si="4"/>
        <v>-4</v>
      </c>
    </row>
    <row r="129" spans="3:5" x14ac:dyDescent="0.25">
      <c r="C129" s="26">
        <v>1.26</v>
      </c>
      <c r="D129" s="27"/>
      <c r="E129" s="26">
        <f t="shared" si="4"/>
        <v>-3.8461538461538458</v>
      </c>
    </row>
    <row r="130" spans="3:5" x14ac:dyDescent="0.25">
      <c r="C130" s="26">
        <v>1.27</v>
      </c>
      <c r="D130" s="27"/>
      <c r="E130" s="26">
        <f t="shared" si="4"/>
        <v>-3.7037037037037033</v>
      </c>
    </row>
    <row r="131" spans="3:5" x14ac:dyDescent="0.25">
      <c r="C131" s="26">
        <v>1.28</v>
      </c>
      <c r="D131" s="27"/>
      <c r="E131" s="26">
        <f t="shared" si="4"/>
        <v>-3.5714285714285712</v>
      </c>
    </row>
    <row r="132" spans="3:5" x14ac:dyDescent="0.25">
      <c r="C132" s="26">
        <v>1.29</v>
      </c>
      <c r="D132" s="27"/>
      <c r="E132" s="26">
        <f t="shared" si="4"/>
        <v>-3.4482758620689653</v>
      </c>
    </row>
    <row r="133" spans="3:5" x14ac:dyDescent="0.25">
      <c r="C133" s="26">
        <v>1.3</v>
      </c>
      <c r="D133" s="27"/>
      <c r="E133" s="26">
        <f t="shared" si="4"/>
        <v>-3.333333333333333</v>
      </c>
    </row>
    <row r="134" spans="3:5" x14ac:dyDescent="0.25">
      <c r="C134" s="26">
        <v>1.31</v>
      </c>
      <c r="D134" s="27"/>
      <c r="E134" s="26">
        <f t="shared" si="4"/>
        <v>-3.2258064516129026</v>
      </c>
    </row>
    <row r="135" spans="3:5" x14ac:dyDescent="0.25">
      <c r="C135" s="26">
        <v>1.32</v>
      </c>
      <c r="D135" s="27"/>
      <c r="E135" s="26">
        <f t="shared" si="4"/>
        <v>-3.1249999999999996</v>
      </c>
    </row>
    <row r="136" spans="3:5" x14ac:dyDescent="0.25">
      <c r="C136" s="26">
        <v>1.33</v>
      </c>
      <c r="D136" s="27"/>
      <c r="E136" s="26">
        <f t="shared" si="4"/>
        <v>-3.0303030303030298</v>
      </c>
    </row>
    <row r="137" spans="3:5" x14ac:dyDescent="0.25">
      <c r="C137" s="26">
        <v>1.34</v>
      </c>
      <c r="D137" s="27"/>
      <c r="E137" s="26">
        <f t="shared" si="4"/>
        <v>-2.9411764705882346</v>
      </c>
    </row>
    <row r="138" spans="3:5" x14ac:dyDescent="0.25">
      <c r="C138" s="26">
        <v>1.35</v>
      </c>
      <c r="D138" s="27"/>
      <c r="E138" s="26">
        <f t="shared" si="4"/>
        <v>-2.8571428571428563</v>
      </c>
    </row>
    <row r="139" spans="3:5" x14ac:dyDescent="0.25">
      <c r="C139" s="26">
        <v>1.36</v>
      </c>
      <c r="D139" s="27"/>
      <c r="E139" s="26">
        <f t="shared" si="4"/>
        <v>-2.7777777777777772</v>
      </c>
    </row>
    <row r="140" spans="3:5" x14ac:dyDescent="0.25">
      <c r="C140" s="26">
        <v>1.37</v>
      </c>
      <c r="D140" s="27"/>
      <c r="E140" s="26">
        <f t="shared" si="4"/>
        <v>-2.7027027027027017</v>
      </c>
    </row>
    <row r="141" spans="3:5" x14ac:dyDescent="0.25">
      <c r="C141" s="26">
        <v>1.38</v>
      </c>
      <c r="D141" s="27"/>
      <c r="E141" s="26">
        <f t="shared" si="4"/>
        <v>-2.6315789473684217</v>
      </c>
    </row>
    <row r="142" spans="3:5" x14ac:dyDescent="0.25">
      <c r="C142" s="26">
        <v>1.39</v>
      </c>
      <c r="D142" s="27"/>
      <c r="E142" s="26">
        <f t="shared" si="4"/>
        <v>-2.5641025641025648</v>
      </c>
    </row>
    <row r="143" spans="3:5" x14ac:dyDescent="0.25">
      <c r="C143" s="26">
        <v>1.4</v>
      </c>
      <c r="D143" s="27"/>
      <c r="E143" s="26">
        <f t="shared" si="4"/>
        <v>-2.5000000000000004</v>
      </c>
    </row>
    <row r="144" spans="3:5" x14ac:dyDescent="0.25">
      <c r="C144" s="26">
        <v>1.41</v>
      </c>
      <c r="D144" s="27"/>
      <c r="E144" s="26">
        <f t="shared" si="4"/>
        <v>-2.4390243902439028</v>
      </c>
    </row>
    <row r="145" spans="3:5" x14ac:dyDescent="0.25">
      <c r="C145" s="26">
        <v>1.42</v>
      </c>
      <c r="D145" s="27"/>
      <c r="E145" s="26">
        <f t="shared" si="4"/>
        <v>-2.3809523809523814</v>
      </c>
    </row>
    <row r="146" spans="3:5" x14ac:dyDescent="0.25">
      <c r="C146" s="26">
        <v>1.43</v>
      </c>
      <c r="D146" s="27"/>
      <c r="E146" s="26">
        <f t="shared" si="4"/>
        <v>-2.3255813953488373</v>
      </c>
    </row>
    <row r="147" spans="3:5" x14ac:dyDescent="0.25">
      <c r="C147" s="26">
        <v>1.44</v>
      </c>
      <c r="D147" s="27"/>
      <c r="E147" s="26">
        <f t="shared" si="4"/>
        <v>-2.2727272727272729</v>
      </c>
    </row>
    <row r="148" spans="3:5" x14ac:dyDescent="0.25">
      <c r="C148" s="26">
        <v>1.45</v>
      </c>
      <c r="D148" s="27"/>
      <c r="E148" s="26">
        <f t="shared" si="4"/>
        <v>-2.2222222222222223</v>
      </c>
    </row>
    <row r="149" spans="3:5" x14ac:dyDescent="0.25">
      <c r="C149" s="26">
        <v>1.46</v>
      </c>
      <c r="D149" s="27"/>
      <c r="E149" s="26">
        <f t="shared" si="4"/>
        <v>-2.1739130434782612</v>
      </c>
    </row>
    <row r="150" spans="3:5" x14ac:dyDescent="0.25">
      <c r="C150" s="26">
        <v>1.47</v>
      </c>
      <c r="D150" s="27"/>
      <c r="E150" s="26">
        <f t="shared" si="4"/>
        <v>-2.1276595744680851</v>
      </c>
    </row>
    <row r="151" spans="3:5" x14ac:dyDescent="0.25">
      <c r="C151" s="26">
        <v>1.48</v>
      </c>
      <c r="D151" s="27"/>
      <c r="E151" s="26">
        <f t="shared" si="4"/>
        <v>-2.0833333333333335</v>
      </c>
    </row>
    <row r="152" spans="3:5" x14ac:dyDescent="0.25">
      <c r="C152" s="26">
        <v>1.49</v>
      </c>
      <c r="D152" s="27"/>
      <c r="E152" s="26">
        <f t="shared" si="4"/>
        <v>-2.0408163265306123</v>
      </c>
    </row>
    <row r="153" spans="3:5" x14ac:dyDescent="0.25">
      <c r="C153" s="26">
        <v>1.5</v>
      </c>
      <c r="D153" s="27"/>
      <c r="E153" s="26">
        <f t="shared" si="4"/>
        <v>-2</v>
      </c>
    </row>
    <row r="154" spans="3:5" x14ac:dyDescent="0.25">
      <c r="C154" s="26">
        <v>1.51</v>
      </c>
      <c r="D154" s="27"/>
      <c r="E154" s="26">
        <f t="shared" si="4"/>
        <v>-1.9607843137254901</v>
      </c>
    </row>
    <row r="155" spans="3:5" x14ac:dyDescent="0.25">
      <c r="C155" s="26">
        <v>1.52</v>
      </c>
      <c r="D155" s="27"/>
      <c r="E155" s="26">
        <f t="shared" si="4"/>
        <v>-1.9230769230769229</v>
      </c>
    </row>
    <row r="156" spans="3:5" x14ac:dyDescent="0.25">
      <c r="C156" s="26">
        <v>1.53</v>
      </c>
      <c r="D156" s="27"/>
      <c r="E156" s="26">
        <f t="shared" si="4"/>
        <v>-1.8867924528301885</v>
      </c>
    </row>
    <row r="157" spans="3:5" x14ac:dyDescent="0.25">
      <c r="C157" s="26">
        <v>1.54</v>
      </c>
      <c r="D157" s="27"/>
      <c r="E157" s="26">
        <f t="shared" si="4"/>
        <v>-1.8518518518518516</v>
      </c>
    </row>
    <row r="158" spans="3:5" x14ac:dyDescent="0.25">
      <c r="C158" s="26">
        <v>1.55</v>
      </c>
      <c r="D158" s="27"/>
      <c r="E158" s="26">
        <f t="shared" si="4"/>
        <v>-1.8181818181818181</v>
      </c>
    </row>
    <row r="159" spans="3:5" x14ac:dyDescent="0.25">
      <c r="C159" s="26">
        <v>1.56</v>
      </c>
      <c r="D159" s="27"/>
      <c r="E159" s="26">
        <f t="shared" si="4"/>
        <v>-1.7857142857142856</v>
      </c>
    </row>
    <row r="160" spans="3:5" x14ac:dyDescent="0.25">
      <c r="C160" s="26">
        <v>1.57</v>
      </c>
      <c r="D160" s="27"/>
      <c r="E160" s="26">
        <f t="shared" si="4"/>
        <v>-1.7543859649122806</v>
      </c>
    </row>
    <row r="161" spans="3:5" x14ac:dyDescent="0.25">
      <c r="C161" s="26">
        <v>1.58</v>
      </c>
      <c r="D161" s="27"/>
      <c r="E161" s="26">
        <f t="shared" si="4"/>
        <v>-1.7241379310344827</v>
      </c>
    </row>
    <row r="162" spans="3:5" x14ac:dyDescent="0.25">
      <c r="C162" s="26">
        <v>1.59</v>
      </c>
      <c r="D162" s="27"/>
      <c r="E162" s="26">
        <f t="shared" si="4"/>
        <v>-1.6949152542372878</v>
      </c>
    </row>
    <row r="163" spans="3:5" x14ac:dyDescent="0.25">
      <c r="C163" s="26">
        <v>1.6</v>
      </c>
      <c r="D163" s="27"/>
      <c r="E163" s="26">
        <f t="shared" si="4"/>
        <v>-1.6666666666666665</v>
      </c>
    </row>
    <row r="164" spans="3:5" x14ac:dyDescent="0.25">
      <c r="C164" s="26">
        <v>1.61</v>
      </c>
      <c r="D164" s="27"/>
      <c r="E164" s="26">
        <f t="shared" si="4"/>
        <v>-1.6393442622950818</v>
      </c>
    </row>
    <row r="165" spans="3:5" x14ac:dyDescent="0.25">
      <c r="C165" s="26">
        <v>1.62</v>
      </c>
      <c r="D165" s="27"/>
      <c r="E165" s="26">
        <f t="shared" si="4"/>
        <v>-1.6129032258064513</v>
      </c>
    </row>
    <row r="166" spans="3:5" x14ac:dyDescent="0.25">
      <c r="C166" s="26">
        <v>1.63</v>
      </c>
      <c r="D166" s="27"/>
      <c r="E166" s="26">
        <f t="shared" si="4"/>
        <v>-1.5873015873015877</v>
      </c>
    </row>
    <row r="167" spans="3:5" x14ac:dyDescent="0.25">
      <c r="C167" s="26">
        <v>1.64</v>
      </c>
      <c r="D167" s="27"/>
      <c r="E167" s="26">
        <f t="shared" si="4"/>
        <v>-1.5625000000000002</v>
      </c>
    </row>
    <row r="168" spans="3:5" x14ac:dyDescent="0.25">
      <c r="C168" s="26">
        <v>1.65</v>
      </c>
      <c r="D168" s="27"/>
      <c r="E168" s="26">
        <f t="shared" si="4"/>
        <v>-1.5384615384615388</v>
      </c>
    </row>
    <row r="169" spans="3:5" x14ac:dyDescent="0.25">
      <c r="C169" s="26">
        <v>1.66</v>
      </c>
      <c r="D169" s="27"/>
      <c r="E169" s="26">
        <f t="shared" ref="E169:E203" si="5">1/(1-C169)</f>
        <v>-1.5151515151515154</v>
      </c>
    </row>
    <row r="170" spans="3:5" x14ac:dyDescent="0.25">
      <c r="C170" s="26">
        <v>1.67</v>
      </c>
      <c r="D170" s="27"/>
      <c r="E170" s="26">
        <f t="shared" si="5"/>
        <v>-1.4925373134328359</v>
      </c>
    </row>
    <row r="171" spans="3:5" x14ac:dyDescent="0.25">
      <c r="C171" s="26">
        <v>1.68</v>
      </c>
      <c r="D171" s="27"/>
      <c r="E171" s="26">
        <f t="shared" si="5"/>
        <v>-1.4705882352941178</v>
      </c>
    </row>
    <row r="172" spans="3:5" x14ac:dyDescent="0.25">
      <c r="C172" s="26">
        <v>1.69</v>
      </c>
      <c r="D172" s="27"/>
      <c r="E172" s="26">
        <f t="shared" si="5"/>
        <v>-1.4492753623188408</v>
      </c>
    </row>
    <row r="173" spans="3:5" x14ac:dyDescent="0.25">
      <c r="C173" s="26">
        <v>1.7</v>
      </c>
      <c r="D173" s="27"/>
      <c r="E173" s="26">
        <f t="shared" si="5"/>
        <v>-1.4285714285714286</v>
      </c>
    </row>
    <row r="174" spans="3:5" x14ac:dyDescent="0.25">
      <c r="C174" s="26">
        <v>1.71</v>
      </c>
      <c r="D174" s="27"/>
      <c r="E174" s="26">
        <f t="shared" si="5"/>
        <v>-1.4084507042253522</v>
      </c>
    </row>
    <row r="175" spans="3:5" x14ac:dyDescent="0.25">
      <c r="C175" s="26">
        <v>1.72</v>
      </c>
      <c r="D175" s="27"/>
      <c r="E175" s="26">
        <f t="shared" si="5"/>
        <v>-1.3888888888888888</v>
      </c>
    </row>
    <row r="176" spans="3:5" x14ac:dyDescent="0.25">
      <c r="C176" s="26">
        <v>1.73</v>
      </c>
      <c r="D176" s="27"/>
      <c r="E176" s="26">
        <f t="shared" si="5"/>
        <v>-1.3698630136986301</v>
      </c>
    </row>
    <row r="177" spans="3:5" x14ac:dyDescent="0.25">
      <c r="C177" s="26">
        <v>1.74</v>
      </c>
      <c r="D177" s="27"/>
      <c r="E177" s="26">
        <f t="shared" si="5"/>
        <v>-1.3513513513513513</v>
      </c>
    </row>
    <row r="178" spans="3:5" x14ac:dyDescent="0.25">
      <c r="C178" s="26">
        <v>1.75</v>
      </c>
      <c r="D178" s="27"/>
      <c r="E178" s="26">
        <f t="shared" si="5"/>
        <v>-1.3333333333333333</v>
      </c>
    </row>
    <row r="179" spans="3:5" x14ac:dyDescent="0.25">
      <c r="C179" s="26">
        <v>1.76</v>
      </c>
      <c r="D179" s="27"/>
      <c r="E179" s="26">
        <f t="shared" si="5"/>
        <v>-1.3157894736842106</v>
      </c>
    </row>
    <row r="180" spans="3:5" x14ac:dyDescent="0.25">
      <c r="C180" s="26">
        <v>1.77</v>
      </c>
      <c r="D180" s="27"/>
      <c r="E180" s="26">
        <f t="shared" si="5"/>
        <v>-1.2987012987012987</v>
      </c>
    </row>
    <row r="181" spans="3:5" x14ac:dyDescent="0.25">
      <c r="C181" s="26">
        <v>1.78</v>
      </c>
      <c r="D181" s="27"/>
      <c r="E181" s="26">
        <f t="shared" si="5"/>
        <v>-1.2820512820512819</v>
      </c>
    </row>
    <row r="182" spans="3:5" x14ac:dyDescent="0.25">
      <c r="C182" s="26">
        <v>1.79</v>
      </c>
      <c r="D182" s="27"/>
      <c r="E182" s="26">
        <f t="shared" si="5"/>
        <v>-1.2658227848101264</v>
      </c>
    </row>
    <row r="183" spans="3:5" x14ac:dyDescent="0.25">
      <c r="C183" s="26">
        <v>1.8</v>
      </c>
      <c r="D183" s="27"/>
      <c r="E183" s="26">
        <f t="shared" si="5"/>
        <v>-1.25</v>
      </c>
    </row>
    <row r="184" spans="3:5" x14ac:dyDescent="0.25">
      <c r="C184" s="26">
        <v>1.81</v>
      </c>
      <c r="D184" s="27"/>
      <c r="E184" s="26">
        <f t="shared" si="5"/>
        <v>-1.2345679012345678</v>
      </c>
    </row>
    <row r="185" spans="3:5" x14ac:dyDescent="0.25">
      <c r="C185" s="26">
        <v>1.82</v>
      </c>
      <c r="D185" s="27"/>
      <c r="E185" s="26">
        <f t="shared" si="5"/>
        <v>-1.2195121951219512</v>
      </c>
    </row>
    <row r="186" spans="3:5" x14ac:dyDescent="0.25">
      <c r="C186" s="26">
        <v>1.83</v>
      </c>
      <c r="D186" s="27"/>
      <c r="E186" s="26">
        <f t="shared" si="5"/>
        <v>-1.2048192771084336</v>
      </c>
    </row>
    <row r="187" spans="3:5" x14ac:dyDescent="0.25">
      <c r="C187" s="26">
        <v>1.84</v>
      </c>
      <c r="D187" s="27"/>
      <c r="E187" s="26">
        <f t="shared" si="5"/>
        <v>-1.1904761904761905</v>
      </c>
    </row>
    <row r="188" spans="3:5" x14ac:dyDescent="0.25">
      <c r="C188" s="26">
        <v>1.85</v>
      </c>
      <c r="D188" s="27"/>
      <c r="E188" s="26">
        <f t="shared" si="5"/>
        <v>-1.1764705882352939</v>
      </c>
    </row>
    <row r="189" spans="3:5" x14ac:dyDescent="0.25">
      <c r="C189" s="26">
        <v>1.86</v>
      </c>
      <c r="D189" s="27"/>
      <c r="E189" s="26">
        <f t="shared" si="5"/>
        <v>-1.1627906976744184</v>
      </c>
    </row>
    <row r="190" spans="3:5" x14ac:dyDescent="0.25">
      <c r="C190" s="26">
        <v>1.87</v>
      </c>
      <c r="D190" s="27"/>
      <c r="E190" s="26">
        <f t="shared" si="5"/>
        <v>-1.1494252873563218</v>
      </c>
    </row>
    <row r="191" spans="3:5" x14ac:dyDescent="0.25">
      <c r="C191" s="26">
        <v>1.88</v>
      </c>
      <c r="D191" s="27"/>
      <c r="E191" s="26">
        <f t="shared" si="5"/>
        <v>-1.1363636363636365</v>
      </c>
    </row>
    <row r="192" spans="3:5" x14ac:dyDescent="0.25">
      <c r="C192" s="26">
        <v>1.89</v>
      </c>
      <c r="D192" s="27"/>
      <c r="E192" s="26">
        <f t="shared" si="5"/>
        <v>-1.1235955056179776</v>
      </c>
    </row>
    <row r="193" spans="3:5" x14ac:dyDescent="0.25">
      <c r="C193" s="26">
        <v>1.9</v>
      </c>
      <c r="D193" s="27"/>
      <c r="E193" s="26">
        <f t="shared" si="5"/>
        <v>-1.1111111111111112</v>
      </c>
    </row>
    <row r="194" spans="3:5" x14ac:dyDescent="0.25">
      <c r="C194" s="26">
        <v>1.91</v>
      </c>
      <c r="D194" s="27"/>
      <c r="E194" s="26">
        <f t="shared" si="5"/>
        <v>-1.098901098901099</v>
      </c>
    </row>
    <row r="195" spans="3:5" x14ac:dyDescent="0.25">
      <c r="C195" s="26">
        <v>1.92</v>
      </c>
      <c r="D195" s="27"/>
      <c r="E195" s="26">
        <f t="shared" si="5"/>
        <v>-1.0869565217391306</v>
      </c>
    </row>
    <row r="196" spans="3:5" x14ac:dyDescent="0.25">
      <c r="C196" s="26">
        <v>1.93</v>
      </c>
      <c r="D196" s="27"/>
      <c r="E196" s="26">
        <f t="shared" si="5"/>
        <v>-1.0752688172043012</v>
      </c>
    </row>
    <row r="197" spans="3:5" x14ac:dyDescent="0.25">
      <c r="C197" s="26">
        <v>1.94</v>
      </c>
      <c r="D197" s="27"/>
      <c r="E197" s="26">
        <f t="shared" si="5"/>
        <v>-1.0638297872340425</v>
      </c>
    </row>
    <row r="198" spans="3:5" x14ac:dyDescent="0.25">
      <c r="C198" s="26">
        <v>1.95</v>
      </c>
      <c r="D198" s="27"/>
      <c r="E198" s="26">
        <f t="shared" si="5"/>
        <v>-1.0526315789473684</v>
      </c>
    </row>
    <row r="199" spans="3:5" x14ac:dyDescent="0.25">
      <c r="C199" s="26">
        <v>1.96</v>
      </c>
      <c r="D199" s="27"/>
      <c r="E199" s="26">
        <f t="shared" si="5"/>
        <v>-1.0416666666666667</v>
      </c>
    </row>
    <row r="200" spans="3:5" x14ac:dyDescent="0.25">
      <c r="C200" s="26">
        <v>1.97</v>
      </c>
      <c r="D200" s="27"/>
      <c r="E200" s="26">
        <f t="shared" si="5"/>
        <v>-1.0309278350515465</v>
      </c>
    </row>
    <row r="201" spans="3:5" x14ac:dyDescent="0.25">
      <c r="C201" s="26">
        <v>1.98</v>
      </c>
      <c r="D201" s="27"/>
      <c r="E201" s="26">
        <f t="shared" si="5"/>
        <v>-1.0204081632653061</v>
      </c>
    </row>
    <row r="202" spans="3:5" x14ac:dyDescent="0.25">
      <c r="C202" s="26">
        <v>1.99</v>
      </c>
      <c r="D202" s="27"/>
      <c r="E202" s="26">
        <f t="shared" si="5"/>
        <v>-1.0101010101010102</v>
      </c>
    </row>
    <row r="203" spans="3:5" x14ac:dyDescent="0.25">
      <c r="C203" s="28">
        <v>2</v>
      </c>
      <c r="D203" s="29"/>
      <c r="E203" s="28">
        <f t="shared" si="5"/>
        <v>-1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12"/>
  <sheetViews>
    <sheetView workbookViewId="0">
      <selection activeCell="G21" sqref="G21"/>
    </sheetView>
  </sheetViews>
  <sheetFormatPr defaultRowHeight="15" x14ac:dyDescent="0.25"/>
  <cols>
    <col min="1" max="1" width="4" customWidth="1"/>
    <col min="2" max="2" width="18" bestFit="1" customWidth="1"/>
    <col min="3" max="3" width="12.7109375" bestFit="1" customWidth="1"/>
    <col min="9" max="9" width="12" bestFit="1" customWidth="1"/>
  </cols>
  <sheetData>
    <row r="2" spans="2:10" ht="21" x14ac:dyDescent="0.35">
      <c r="B2" s="15" t="s">
        <v>36</v>
      </c>
    </row>
    <row r="3" spans="2:10" x14ac:dyDescent="0.25">
      <c r="C3" s="1" t="s">
        <v>23</v>
      </c>
      <c r="D3" s="1" t="s">
        <v>24</v>
      </c>
      <c r="E3" s="1" t="s">
        <v>25</v>
      </c>
      <c r="F3" s="1" t="s">
        <v>26</v>
      </c>
      <c r="G3" s="1" t="s">
        <v>27</v>
      </c>
      <c r="I3" s="1" t="s">
        <v>33</v>
      </c>
      <c r="J3" s="1" t="s">
        <v>34</v>
      </c>
    </row>
    <row r="4" spans="2:10" x14ac:dyDescent="0.25">
      <c r="B4" t="s">
        <v>28</v>
      </c>
      <c r="C4" s="1">
        <f t="shared" ref="C4:G4" ca="1" si="0">_xlfn.NORM.INV(RAND(),100,25)</f>
        <v>120.2358382381434</v>
      </c>
      <c r="D4" s="1">
        <f t="shared" ca="1" si="0"/>
        <v>124.44278299424562</v>
      </c>
      <c r="E4">
        <f t="shared" ca="1" si="0"/>
        <v>120.4228339963565</v>
      </c>
      <c r="F4">
        <f t="shared" ca="1" si="0"/>
        <v>80.866842670947676</v>
      </c>
      <c r="G4">
        <f t="shared" ca="1" si="0"/>
        <v>103.87814349585938</v>
      </c>
      <c r="I4">
        <f ca="1">AVERAGE(C4:G4)</f>
        <v>109.96928827911051</v>
      </c>
      <c r="J4">
        <f ca="1">_xlfn.STDEV.S(C4:G4)</f>
        <v>18.084628144777497</v>
      </c>
    </row>
    <row r="5" spans="2:10" x14ac:dyDescent="0.25">
      <c r="B5" t="s">
        <v>29</v>
      </c>
      <c r="C5" s="1">
        <f ca="1">C4 + _xlfn.NORM.INV(RAND(),0,10)</f>
        <v>128.90004122560075</v>
      </c>
      <c r="D5" s="1">
        <f ca="1">D4 + _xlfn.NORM.INV(RAND(),0,10)</f>
        <v>118.62269463400604</v>
      </c>
      <c r="E5" s="1">
        <f t="shared" ref="E5:G5" ca="1" si="1">E4 + _xlfn.NORM.INV(RAND(),0,10)</f>
        <v>133.0381502248205</v>
      </c>
      <c r="F5" s="1">
        <f t="shared" ca="1" si="1"/>
        <v>90.705218517107198</v>
      </c>
      <c r="G5" s="1">
        <f t="shared" ca="1" si="1"/>
        <v>107.02071090471577</v>
      </c>
      <c r="I5">
        <f ca="1">AVERAGE(C5:G5)</f>
        <v>115.65736310125003</v>
      </c>
      <c r="J5">
        <f ca="1">_xlfn.STDEV.S(C5:G5)</f>
        <v>17.200688623940852</v>
      </c>
    </row>
    <row r="6" spans="2:10" x14ac:dyDescent="0.25">
      <c r="C6" s="1"/>
      <c r="D6" s="1"/>
      <c r="E6" s="1"/>
      <c r="F6" s="1"/>
      <c r="G6" s="1"/>
    </row>
    <row r="7" spans="2:10" x14ac:dyDescent="0.25">
      <c r="I7" s="1" t="s">
        <v>33</v>
      </c>
      <c r="J7" s="1" t="s">
        <v>34</v>
      </c>
    </row>
    <row r="8" spans="2:10" x14ac:dyDescent="0.25">
      <c r="B8" t="s">
        <v>30</v>
      </c>
      <c r="C8">
        <f ca="1">(C4-AVERAGE($C4:$G4))/_xlfn.STDEV.S($C4:$G4)</f>
        <v>0.5676948332497328</v>
      </c>
      <c r="D8">
        <f t="shared" ref="D8:G9" ca="1" si="2">(D4-AVERAGE($C4:$G4))/_xlfn.STDEV.S($C4:$G4)</f>
        <v>0.80032028301974123</v>
      </c>
      <c r="E8">
        <f t="shared" ca="1" si="2"/>
        <v>0.57803487213336902</v>
      </c>
      <c r="F8">
        <f t="shared" ca="1" si="2"/>
        <v>-1.6092366055404397</v>
      </c>
      <c r="G8">
        <f t="shared" ca="1" si="2"/>
        <v>-0.33681338286240337</v>
      </c>
      <c r="I8">
        <f ca="1">AVERAGE(C8:G8)</f>
        <v>0</v>
      </c>
      <c r="J8">
        <f ca="1">_xlfn.STDEV.S(C8:G8)</f>
        <v>1.0000000000000018</v>
      </c>
    </row>
    <row r="9" spans="2:10" x14ac:dyDescent="0.25">
      <c r="B9" t="s">
        <v>31</v>
      </c>
      <c r="C9">
        <f ca="1">(C5-AVERAGE($C5:$G5))/_xlfn.STDEV.S($C5:$G5)</f>
        <v>0.76989232314332112</v>
      </c>
      <c r="D9">
        <f t="shared" ca="1" si="2"/>
        <v>0.17239609399292893</v>
      </c>
      <c r="E9">
        <f t="shared" ca="1" si="2"/>
        <v>1.0104704238049487</v>
      </c>
      <c r="F9">
        <f t="shared" ca="1" si="2"/>
        <v>-1.4506480019301715</v>
      </c>
      <c r="G9">
        <f t="shared" ca="1" si="2"/>
        <v>-0.50211083901102049</v>
      </c>
      <c r="I9">
        <f ca="1">AVERAGE(C9:G9)</f>
        <v>1.3322676295501878E-15</v>
      </c>
      <c r="J9">
        <f ca="1">_xlfn.STDEV.S(C9:G9)</f>
        <v>0.99999999999999267</v>
      </c>
    </row>
    <row r="11" spans="2:10" x14ac:dyDescent="0.25">
      <c r="B11" t="s">
        <v>35</v>
      </c>
      <c r="C11">
        <f ca="1">SUMPRODUCT(C8:G8,C9:G9)/4</f>
        <v>0.91566916092024309</v>
      </c>
    </row>
    <row r="12" spans="2:10" x14ac:dyDescent="0.25">
      <c r="B12" t="s">
        <v>32</v>
      </c>
      <c r="C12">
        <f ca="1">_xlfn.COVARIANCE.S(C4:G4,C5:G5)/(J4*J5)</f>
        <v>0.91566916092024309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MaximalMarginClassifier</vt:lpstr>
      <vt:lpstr>SupportVectorClassifier</vt:lpstr>
      <vt:lpstr>Epsilon</vt:lpstr>
      <vt:lpstr>InnerProduct</vt:lpstr>
      <vt:lpstr>SupportVectorClassifier!beta0</vt:lpstr>
      <vt:lpstr>beta0</vt:lpstr>
      <vt:lpstr>SupportVectorClassifier!beta1</vt:lpstr>
      <vt:lpstr>beta1</vt:lpstr>
      <vt:lpstr>SupportVectorClassifier!beta2</vt:lpstr>
      <vt:lpstr>beta2</vt:lpstr>
      <vt:lpstr>SupportVectorClassifier!Betas</vt:lpstr>
      <vt:lpstr>Betas</vt:lpstr>
      <vt:lpstr>BetasReset</vt:lpstr>
      <vt:lpstr>epsilons</vt:lpstr>
      <vt:lpstr>SupportVectorClassifier!intercept</vt:lpstr>
      <vt:lpstr>intercept</vt:lpstr>
      <vt:lpstr>Link1</vt:lpstr>
      <vt:lpstr>Link2</vt:lpstr>
      <vt:lpstr>Margin</vt:lpstr>
      <vt:lpstr>normBetas</vt:lpstr>
      <vt:lpstr>SupportVectorClassifier!ResetRange</vt:lpstr>
      <vt:lpstr>ResetRange</vt:lpstr>
      <vt:lpstr>SupportVectorClassifier!ResetX2Range</vt:lpstr>
      <vt:lpstr>ResetX2Range</vt:lpstr>
      <vt:lpstr>SupportVectorClassifier!showLine</vt:lpstr>
      <vt:lpstr>showLine</vt:lpstr>
      <vt:lpstr>SupportVectorClassifier!showMargins</vt:lpstr>
      <vt:lpstr>showMargins</vt:lpstr>
      <vt:lpstr>SupportVectorClassifier!showPoints</vt:lpstr>
      <vt:lpstr>showPoints</vt:lpstr>
      <vt:lpstr>SupportVectorClassifier!slope</vt:lpstr>
      <vt:lpstr>slope</vt:lpstr>
      <vt:lpstr>StartingC</vt:lpstr>
      <vt:lpstr>sumC</vt:lpstr>
      <vt:lpstr>TestPointEpsilon</vt:lpstr>
      <vt:lpstr>SupportVectorClassifier!x2Range</vt:lpstr>
      <vt:lpstr>x2Range</vt:lpstr>
    </vt:vector>
  </TitlesOfParts>
  <Company>William &amp; Mary - Raymond A. Mason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2017-02-08T13:45:20Z</dcterms:created>
  <dcterms:modified xsi:type="dcterms:W3CDTF">2017-03-12T20:45:47Z</dcterms:modified>
</cp:coreProperties>
</file>